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eLivro"/>
  <mc:AlternateContent xmlns:mc="http://schemas.openxmlformats.org/markup-compatibility/2006">
    <mc:Choice Requires="x15">
      <x15ac:absPath xmlns:x15ac="http://schemas.microsoft.com/office/spreadsheetml/2010/11/ac" url="https://triunfantecombr-my.sharepoint.com/personal/vinicius_nantes_triunfante_com_br/Documents/VON/Análise de Vendas/BLUE JACKET/7.Julho/1-Diarios/"/>
    </mc:Choice>
  </mc:AlternateContent>
  <xr:revisionPtr revIDLastSave="80" documentId="13_ncr:1_{50937B63-F9F7-4998-A1F4-DD9E67F63272}" xr6:coauthVersionLast="47" xr6:coauthVersionMax="47" xr10:uidLastSave="{99DD0F87-FAD2-4887-84F2-AC69A53C0828}"/>
  <bookViews>
    <workbookView xWindow="-108" yWindow="-108" windowWidth="23256" windowHeight="12456" tabRatio="500" xr2:uid="{00000000-000D-0000-FFFF-FFFF00000000}"/>
  </bookViews>
  <sheets>
    <sheet name="SELL OUT - Milenio 2026" sheetId="2" r:id="rId1"/>
    <sheet name="EQUIPES" sheetId="3" r:id="rId2"/>
  </sheets>
  <definedNames>
    <definedName name="_xlnm._FilterDatabase" localSheetId="1" hidden="1">EQUIPES!$A$3:$W$27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3" l="1"/>
  <c r="E1" i="3"/>
  <c r="B1" i="3"/>
  <c r="V1" i="3"/>
  <c r="R1" i="3"/>
  <c r="Q1" i="3"/>
  <c r="O1" i="3"/>
  <c r="M1" i="3"/>
  <c r="I1" i="3"/>
  <c r="H1" i="3"/>
  <c r="F1" i="3"/>
  <c r="N2" i="3" l="1"/>
  <c r="E2" i="3"/>
  <c r="S1" i="3"/>
  <c r="G1" i="3"/>
  <c r="J1" i="3"/>
  <c r="P1" i="3"/>
  <c r="K1" i="3" l="1"/>
  <c r="T1" i="3" l="1"/>
  <c r="W1" i="3"/>
  <c r="L1" i="3" l="1"/>
  <c r="U1" i="3"/>
</calcChain>
</file>

<file path=xl/sharedStrings.xml><?xml version="1.0" encoding="utf-8"?>
<sst xmlns="http://schemas.openxmlformats.org/spreadsheetml/2006/main" count="294" uniqueCount="138">
  <si>
    <t>-</t>
  </si>
  <si>
    <t xml:space="preserve">Data de Início: </t>
  </si>
  <si>
    <t>Data Final:</t>
  </si>
  <si>
    <t>SELL-OUT DIÁRIO</t>
  </si>
  <si>
    <t>TOP 5 REDES</t>
  </si>
  <si>
    <t>Ano Novo</t>
  </si>
  <si>
    <t>DIAS ÚTEIS</t>
  </si>
  <si>
    <t>META - Venda Média diária</t>
  </si>
  <si>
    <t>% COB. META</t>
  </si>
  <si>
    <t>Meta Mês</t>
  </si>
  <si>
    <t>Carnaval</t>
  </si>
  <si>
    <t>DIAS TRABALHADOS</t>
  </si>
  <si>
    <t>Venda Média diária</t>
  </si>
  <si>
    <t>Acum. Mês Faturado</t>
  </si>
  <si>
    <t>Sexta Feira Santa</t>
  </si>
  <si>
    <t>ATUALIZADO:</t>
  </si>
  <si>
    <t>Venda Média diária NECESSÁRIA</t>
  </si>
  <si>
    <t>Pascoa</t>
  </si>
  <si>
    <t>MILÊNIO</t>
  </si>
  <si>
    <t xml:space="preserve">REDE ABV                      </t>
  </si>
  <si>
    <t>Tiradentes</t>
  </si>
  <si>
    <t>REFERENCIA DIAS:</t>
  </si>
  <si>
    <t>SELL OUT / VENDA (R$)</t>
  </si>
  <si>
    <t>SELL OUT / FATURADO (R$)</t>
  </si>
  <si>
    <t>POSITIVAÇÃO</t>
  </si>
  <si>
    <t>SELL-OUT MÊS</t>
  </si>
  <si>
    <t>REDE ABV</t>
  </si>
  <si>
    <t>Dia do Trabalhador</t>
  </si>
  <si>
    <t>Sexta-Feira</t>
  </si>
  <si>
    <t>Padroeiro CG</t>
  </si>
  <si>
    <t>Sábado</t>
  </si>
  <si>
    <t>Corpus Christi</t>
  </si>
  <si>
    <t>Domingo</t>
  </si>
  <si>
    <t>Tendência Faturado</t>
  </si>
  <si>
    <t>Segunda-Feira</t>
  </si>
  <si>
    <t>Acum. Mês Venda</t>
  </si>
  <si>
    <t>Aniversário CG</t>
  </si>
  <si>
    <t>Terça-Feira</t>
  </si>
  <si>
    <t>Tendência Venda</t>
  </si>
  <si>
    <t>Independência</t>
  </si>
  <si>
    <t>Quarta-Feira</t>
  </si>
  <si>
    <t xml:space="preserve">REDE VRA / MEGA               </t>
  </si>
  <si>
    <t>Divisão do Est</t>
  </si>
  <si>
    <t>Quinta-Feira</t>
  </si>
  <si>
    <t xml:space="preserve"> Vs. Tend. Fat.</t>
  </si>
  <si>
    <t>REDE MEGA</t>
  </si>
  <si>
    <t>Padroeira Nª Srª</t>
  </si>
  <si>
    <t>Finados</t>
  </si>
  <si>
    <t>Sell Out Médio 3 Meses</t>
  </si>
  <si>
    <t>Plocamação Rep</t>
  </si>
  <si>
    <t>Natal</t>
  </si>
  <si>
    <t>ESTOQUE</t>
  </si>
  <si>
    <t>META</t>
  </si>
  <si>
    <t>VARIAÇÃO</t>
  </si>
  <si>
    <t>Estoque P.VENDA (Atual)</t>
  </si>
  <si>
    <t>Cobertura Estoque</t>
  </si>
  <si>
    <t xml:space="preserve">REDE PIRES                    </t>
  </si>
  <si>
    <t>Vlr Venda</t>
  </si>
  <si>
    <t>Saldo Pedido</t>
  </si>
  <si>
    <t>REDE PIRES</t>
  </si>
  <si>
    <t>Estoque + Saldo</t>
  </si>
  <si>
    <t>Cob. Estoque + Saldo</t>
  </si>
  <si>
    <t>Estoque (Atual P.CUSTO)</t>
  </si>
  <si>
    <t xml:space="preserve">REDE NOVA ESTRELA             </t>
  </si>
  <si>
    <t>Vlr Custo</t>
  </si>
  <si>
    <t>REDE NOVA ESTRELA</t>
  </si>
  <si>
    <t>Acum. Mês Positivação</t>
  </si>
  <si>
    <t>REDE DAMASCENO-PORTAL/PRINCESA</t>
  </si>
  <si>
    <t>Tendência</t>
  </si>
  <si>
    <t>REDE PORTAL/PRINCESA</t>
  </si>
  <si>
    <t>Posit. Média 3 Meses</t>
  </si>
  <si>
    <t>Creme Dental</t>
  </si>
  <si>
    <t>Esc. + Enx. + Fio</t>
  </si>
  <si>
    <t>Sabonetes</t>
  </si>
  <si>
    <t>Hair</t>
  </si>
  <si>
    <t>Limpeza</t>
  </si>
  <si>
    <t>TOTAIS</t>
  </si>
  <si>
    <t>Total Geral.....:</t>
  </si>
  <si>
    <t>VENDA. MÊS</t>
  </si>
  <si>
    <t>DIFERENÇA:</t>
  </si>
  <si>
    <t>% COB. VEND.</t>
  </si>
  <si>
    <t>Total Geral  Pedidos:</t>
  </si>
  <si>
    <t>T O T A L   G E R A L...</t>
  </si>
  <si>
    <t>TEND. FAT.</t>
  </si>
  <si>
    <t>EQUIPE</t>
  </si>
  <si>
    <t>COORD</t>
  </si>
  <si>
    <t>NOME COORD</t>
  </si>
  <si>
    <t>COD</t>
  </si>
  <si>
    <t>NOME</t>
  </si>
  <si>
    <t>VLR VDA</t>
  </si>
  <si>
    <t>% VDA</t>
  </si>
  <si>
    <t>A FATURAR</t>
  </si>
  <si>
    <t>REALIZADO  +                   A FATURAR</t>
  </si>
  <si>
    <t>% VDA+ A FAT</t>
  </si>
  <si>
    <t>IDEAL PARA HOJE</t>
  </si>
  <si>
    <t>DIFERENÇA DO IDEAL</t>
  </si>
  <si>
    <t>FALTA VDA TOTAL</t>
  </si>
  <si>
    <t>META POSITIVAÇÃO</t>
  </si>
  <si>
    <t>% POS</t>
  </si>
  <si>
    <t>POSITIVAÇÃO A FATURAR</t>
  </si>
  <si>
    <t>POSITIVADOS + A FATURAR</t>
  </si>
  <si>
    <t>% POS+A FAT</t>
  </si>
  <si>
    <t>IDEAL HOJE POSITIVAÇÕES</t>
  </si>
  <si>
    <t>DIFERENÇA IDEAL VS REALIZADO</t>
  </si>
  <si>
    <t>FALTA POSITIVAÇÃO TOTAL</t>
  </si>
  <si>
    <t>TARGET DIA</t>
  </si>
  <si>
    <t xml:space="preserve">JOSE LUCAS SALL </t>
  </si>
  <si>
    <t xml:space="preserve">THIAGO - MC.KA  </t>
  </si>
  <si>
    <t xml:space="preserve">PJ PAULA REGINA </t>
  </si>
  <si>
    <t/>
  </si>
  <si>
    <t xml:space="preserve">MAX DOS SANTOS  </t>
  </si>
  <si>
    <t xml:space="preserve">CLAUDIMIR PEREI </t>
  </si>
  <si>
    <t xml:space="preserve">RENATA MARILYN  </t>
  </si>
  <si>
    <t xml:space="preserve">CLAUDIO - VAREJ </t>
  </si>
  <si>
    <t xml:space="preserve">JONATAS - VAREJ </t>
  </si>
  <si>
    <t xml:space="preserve">GILBERTO LOPES  </t>
  </si>
  <si>
    <t xml:space="preserve">TATIANA MONTANH </t>
  </si>
  <si>
    <t xml:space="preserve">PJ NILVANIA LEO </t>
  </si>
  <si>
    <t xml:space="preserve">LORENA DA SILVA </t>
  </si>
  <si>
    <t xml:space="preserve">ALCINDO DA SILV </t>
  </si>
  <si>
    <t xml:space="preserve">FABIO APARECIDO </t>
  </si>
  <si>
    <t xml:space="preserve">CLT - WALTER PE </t>
  </si>
  <si>
    <t xml:space="preserve">TAINARA FERREIR </t>
  </si>
  <si>
    <t xml:space="preserve">WILLIAN VINICIU </t>
  </si>
  <si>
    <t xml:space="preserve">PJ GLEICE DA CO </t>
  </si>
  <si>
    <t xml:space="preserve">MARCELO ALVES M </t>
  </si>
  <si>
    <t xml:space="preserve">PEDRO JOELSON F </t>
  </si>
  <si>
    <t xml:space="preserve">MAICON DOUGLAS  </t>
  </si>
  <si>
    <t xml:space="preserve">PJ FABRICIO ALL </t>
  </si>
  <si>
    <t xml:space="preserve"> DEYSIANE GONCA </t>
  </si>
  <si>
    <t xml:space="preserve">CLEUCE SABRINA  </t>
  </si>
  <si>
    <t xml:space="preserve">BRUNO DE SOUZA  </t>
  </si>
  <si>
    <t xml:space="preserve">CRISTIAN DE OLI </t>
  </si>
  <si>
    <t>JULHO</t>
  </si>
  <si>
    <t>Sell Out JULHO 2025</t>
  </si>
  <si>
    <t xml:space="preserve">TALITA GOES GAB </t>
  </si>
  <si>
    <t>Verba Util.</t>
  </si>
  <si>
    <t>% Sobre 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</si>
</sst>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(&quot;R$&quot;* #,##0.00_);_(&quot;R$&quot;* \(#,##0.00\);_(&quot;R$&quot;* &quot;-&quot;??_);_(@_)"/>
    <numFmt numFmtId="166" formatCode="_-&quot;R$ &quot;* #,##0.00_-;&quot;-R$ &quot;* #,##0.00_-;_-&quot;R$ &quot;* \-??_-;_-@_-"/>
    <numFmt numFmtId="167" formatCode="_-* #,##0.00_-;\-* #,##0.00_-;_-* \-??_-;_-@_-"/>
    <numFmt numFmtId="168" formatCode="d/m/yyyy"/>
    <numFmt numFmtId="169" formatCode="_-&quot;R$ &quot;* #,##0_-;&quot;-R$ &quot;* #,##0_-;_-&quot;R$ &quot;* \-??_-;_-@_-"/>
    <numFmt numFmtId="170" formatCode="d&quot;  &quot;mmmm&quot;, &quot;yyyy;@"/>
    <numFmt numFmtId="171" formatCode="d/mmm"/>
    <numFmt numFmtId="172" formatCode="_(&quot;R$&quot;* #,##0.00_);_(&quot;R$&quot;* \(#,##0.00\);_(&quot;R$&quot;* \-??_);_(@_)"/>
    <numFmt numFmtId="173" formatCode="_-* #,##0_-;\-* #,##0_-;_-* \-??_-;_-@_-"/>
    <numFmt numFmtId="174" formatCode="0_ ;\-0\ "/>
    <numFmt numFmtId="175" formatCode="0.0"/>
    <numFmt numFmtId="176" formatCode="&quot;R$&quot;\ #,##0.00"/>
    <numFmt numFmtId="177" formatCode="dd/mm/yyyy\ hh:mm:ss"/>
    <numFmt numFmtId="178" formatCode="&quot;R$&quot;#,##0.00_);[Red]\(&quot;R$&quot;#,##0.00\)"/>
    <numFmt numFmtId="179" formatCode="0.000%"/>
  </numFmts>
  <fonts count="3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color rgb="FF000000"/>
      <name val="Calibri"/>
      <family val="2"/>
    </font>
    <font>
      <sz val="12"/>
      <color rgb="FF000000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2"/>
      <name val="Calibri"/>
      <family val="2"/>
      <charset val="1"/>
    </font>
    <font>
      <sz val="11"/>
      <color rgb="FF000000"/>
      <name val="Calibri"/>
      <family val="2"/>
    </font>
    <font>
      <b/>
      <sz val="11"/>
      <name val="Calibri"/>
      <family val="2"/>
      <charset val="1"/>
    </font>
    <font>
      <b/>
      <sz val="11"/>
      <color rgb="FF000000"/>
      <name val="Calibri"/>
      <family val="2"/>
    </font>
    <font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/>
      <sz val="10"/>
      <color rgb="FFFFFFFF"/>
      <name val="Calibri"/>
      <family val="2"/>
      <charset val="1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sz val="10"/>
      <color rgb="FFFFFFFF"/>
      <name val="Calibri"/>
      <family val="2"/>
      <charset val="1"/>
    </font>
    <font>
      <b/>
      <sz val="14"/>
      <name val="Calibri"/>
      <family val="2"/>
      <charset val="1"/>
    </font>
    <font>
      <sz val="11"/>
      <color theme="0"/>
      <name val="Calibri"/>
      <family val="2"/>
      <charset val="1"/>
    </font>
    <font>
      <sz val="10"/>
      <color theme="0"/>
      <name val="Calibri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  <family val="2"/>
      <charset val="1"/>
    </font>
    <font>
      <sz val="10"/>
      <color theme="0"/>
      <name val="Calibri"/>
      <family val="2"/>
      <charset val="1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name val="Calibri"/>
      <family val="2"/>
      <charset val="1"/>
    </font>
    <font>
      <b/>
      <sz val="12"/>
      <color rgb="FF000000"/>
      <name val="Calibri"/>
      <family val="2"/>
    </font>
    <font>
      <sz val="12"/>
      <color theme="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rgb="FF002060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FFCDCE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/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rgb="FFD9D9D9"/>
      </bottom>
      <diagonal/>
    </border>
    <border>
      <left/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/>
      <top style="thin">
        <color rgb="FFD9D9D9"/>
      </top>
      <bottom style="medium">
        <color auto="1"/>
      </bottom>
      <diagonal/>
    </border>
    <border>
      <left/>
      <right style="medium">
        <color auto="1"/>
      </right>
      <top style="thin">
        <color rgb="FFD9D9D9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rgb="FFD9D9D9"/>
      </left>
      <right/>
      <top style="thin">
        <color rgb="FFD9D9D9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rgb="FFD9D9D9"/>
      </bottom>
      <diagonal/>
    </border>
    <border>
      <left style="thin">
        <color rgb="FFD9D9D9"/>
      </left>
      <right/>
      <top style="medium">
        <color auto="1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medium">
        <color auto="1"/>
      </top>
      <bottom/>
      <diagonal/>
    </border>
    <border>
      <left style="thin">
        <color rgb="FFD9D9D9"/>
      </left>
      <right style="thin">
        <color rgb="FFD9D9D9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thin">
        <color rgb="FFD9D9D9"/>
      </bottom>
      <diagonal/>
    </border>
    <border>
      <left style="medium">
        <color indexed="64"/>
      </left>
      <right style="medium">
        <color indexed="64"/>
      </right>
      <top style="thin">
        <color rgb="FFD9D9D9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 style="medium">
        <color indexed="64"/>
      </right>
      <top style="thin">
        <color theme="0" tint="-0.14999847407452621"/>
      </top>
      <bottom style="medium">
        <color indexed="64"/>
      </bottom>
      <diagonal/>
    </border>
    <border>
      <left style="thin">
        <color theme="0" tint="-0.14999847407452621"/>
      </left>
      <right/>
      <top style="medium">
        <color auto="1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rgb="FFD9D9D9"/>
      </top>
      <bottom style="thin">
        <color rgb="FFD9D9D9"/>
      </bottom>
      <diagonal/>
    </border>
    <border>
      <left style="thin">
        <color theme="0" tint="-0.14999847407452621"/>
      </left>
      <right/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medium">
        <color auto="1"/>
      </top>
      <bottom style="thin">
        <color theme="0" tint="-0.249977111117893"/>
      </bottom>
      <diagonal/>
    </border>
    <border>
      <left style="thin">
        <color rgb="FFD9D9D9"/>
      </left>
      <right style="thin">
        <color rgb="FFD9D9D9"/>
      </right>
      <top style="thin">
        <color theme="0" tint="-0.249977111117893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167" fontId="2" fillId="0" borderId="0" applyBorder="0" applyProtection="0"/>
    <xf numFmtId="0" fontId="21" fillId="0" borderId="0"/>
    <xf numFmtId="0" fontId="22" fillId="0" borderId="0"/>
    <xf numFmtId="0" fontId="22" fillId="0" borderId="0"/>
    <xf numFmtId="165" fontId="21" fillId="0" borderId="0" applyFont="0" applyFill="0" applyBorder="0" applyAlignment="0" applyProtection="0"/>
    <xf numFmtId="165" fontId="21" fillId="0" borderId="0" applyFont="0" applyFill="0" applyBorder="0" applyAlignment="0" applyProtection="0"/>
    <xf numFmtId="167" fontId="2" fillId="0" borderId="0" applyBorder="0" applyProtection="0"/>
    <xf numFmtId="9" fontId="2" fillId="0" borderId="0" applyBorder="0" applyProtection="0"/>
    <xf numFmtId="165" fontId="21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5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/>
    </xf>
    <xf numFmtId="0" fontId="20" fillId="0" borderId="0" xfId="0" applyFont="1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left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/>
    </xf>
    <xf numFmtId="0" fontId="22" fillId="10" borderId="0" xfId="4" applyFill="1" applyAlignment="1">
      <alignment horizontal="center" vertical="center"/>
    </xf>
    <xf numFmtId="0" fontId="22" fillId="0" borderId="0" xfId="4" applyAlignment="1">
      <alignment horizontal="center" vertical="center"/>
    </xf>
    <xf numFmtId="14" fontId="0" fillId="0" borderId="0" xfId="7" applyNumberFormat="1" applyFont="1" applyBorder="1" applyAlignment="1" applyProtection="1">
      <alignment horizontal="center" vertical="center"/>
    </xf>
    <xf numFmtId="168" fontId="0" fillId="0" borderId="0" xfId="7" applyNumberFormat="1" applyFont="1" applyBorder="1" applyAlignment="1" applyProtection="1">
      <alignment horizontal="center" vertical="center"/>
    </xf>
    <xf numFmtId="0" fontId="4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3" fillId="10" borderId="0" xfId="4" applyFont="1" applyFill="1" applyAlignment="1">
      <alignment horizontal="center" vertical="center"/>
    </xf>
    <xf numFmtId="0" fontId="7" fillId="0" borderId="3" xfId="4" applyFont="1" applyBorder="1" applyAlignment="1">
      <alignment horizontal="center"/>
    </xf>
    <xf numFmtId="10" fontId="0" fillId="0" borderId="33" xfId="8" applyNumberFormat="1" applyFont="1" applyBorder="1" applyAlignment="1" applyProtection="1">
      <alignment horizontal="center"/>
    </xf>
    <xf numFmtId="9" fontId="0" fillId="0" borderId="6" xfId="8" applyFont="1" applyBorder="1" applyAlignment="1" applyProtection="1">
      <alignment horizontal="center"/>
    </xf>
    <xf numFmtId="175" fontId="20" fillId="10" borderId="0" xfId="4" applyNumberFormat="1" applyFont="1" applyFill="1" applyAlignment="1">
      <alignment horizontal="center" vertical="center"/>
    </xf>
    <xf numFmtId="4" fontId="24" fillId="10" borderId="0" xfId="4" applyNumberFormat="1" applyFont="1" applyFill="1" applyAlignment="1">
      <alignment horizontal="center" vertical="center"/>
    </xf>
    <xf numFmtId="0" fontId="5" fillId="9" borderId="16" xfId="4" applyFont="1" applyFill="1" applyBorder="1" applyAlignment="1">
      <alignment horizontal="center" vertical="center" wrapText="1"/>
    </xf>
    <xf numFmtId="171" fontId="9" fillId="0" borderId="43" xfId="4" applyNumberFormat="1" applyFont="1" applyBorder="1" applyAlignment="1">
      <alignment horizontal="center" vertical="center"/>
    </xf>
    <xf numFmtId="0" fontId="9" fillId="0" borderId="43" xfId="4" applyFont="1" applyBorder="1" applyAlignment="1">
      <alignment horizontal="center" vertical="center"/>
    </xf>
    <xf numFmtId="171" fontId="9" fillId="0" borderId="44" xfId="4" applyNumberFormat="1" applyFont="1" applyBorder="1" applyAlignment="1">
      <alignment horizontal="center" vertical="center"/>
    </xf>
    <xf numFmtId="0" fontId="9" fillId="0" borderId="44" xfId="4" applyFont="1" applyBorder="1" applyAlignment="1">
      <alignment horizontal="center" vertical="center"/>
    </xf>
    <xf numFmtId="10" fontId="0" fillId="0" borderId="9" xfId="8" applyNumberFormat="1" applyFont="1" applyBorder="1" applyAlignment="1" applyProtection="1">
      <alignment horizontal="center"/>
    </xf>
    <xf numFmtId="166" fontId="22" fillId="10" borderId="0" xfId="4" applyNumberFormat="1" applyFill="1" applyAlignment="1">
      <alignment horizontal="center" vertical="center"/>
    </xf>
    <xf numFmtId="10" fontId="0" fillId="0" borderId="6" xfId="8" applyNumberFormat="1" applyFont="1" applyBorder="1" applyAlignment="1" applyProtection="1">
      <alignment horizontal="center"/>
    </xf>
    <xf numFmtId="0" fontId="16" fillId="11" borderId="0" xfId="4" applyFont="1" applyFill="1" applyAlignment="1">
      <alignment horizontal="center" vertical="center"/>
    </xf>
    <xf numFmtId="0" fontId="7" fillId="10" borderId="0" xfId="4" applyFont="1" applyFill="1" applyAlignment="1">
      <alignment horizontal="center"/>
    </xf>
    <xf numFmtId="0" fontId="7" fillId="10" borderId="16" xfId="4" applyFont="1" applyFill="1" applyBorder="1" applyAlignment="1">
      <alignment horizontal="center"/>
    </xf>
    <xf numFmtId="10" fontId="0" fillId="0" borderId="18" xfId="8" applyNumberFormat="1" applyFont="1" applyBorder="1" applyAlignment="1" applyProtection="1">
      <alignment horizontal="center"/>
    </xf>
    <xf numFmtId="166" fontId="16" fillId="11" borderId="0" xfId="4" applyNumberFormat="1" applyFont="1" applyFill="1" applyAlignment="1">
      <alignment horizontal="center" vertical="center"/>
    </xf>
    <xf numFmtId="10" fontId="0" fillId="0" borderId="20" xfId="8" applyNumberFormat="1" applyFont="1" applyBorder="1" applyAlignment="1" applyProtection="1">
      <alignment horizontal="center"/>
    </xf>
    <xf numFmtId="0" fontId="5" fillId="2" borderId="16" xfId="4" applyFont="1" applyFill="1" applyBorder="1" applyAlignment="1">
      <alignment horizontal="center" vertical="center"/>
    </xf>
    <xf numFmtId="0" fontId="12" fillId="10" borderId="0" xfId="4" applyFont="1" applyFill="1" applyAlignment="1">
      <alignment horizontal="center" vertical="center"/>
    </xf>
    <xf numFmtId="0" fontId="22" fillId="3" borderId="39" xfId="4" applyFill="1" applyBorder="1" applyAlignment="1">
      <alignment vertical="center"/>
    </xf>
    <xf numFmtId="0" fontId="22" fillId="0" borderId="13" xfId="4" applyBorder="1" applyAlignment="1">
      <alignment horizontal="center" vertical="center"/>
    </xf>
    <xf numFmtId="0" fontId="22" fillId="0" borderId="3" xfId="4" applyBorder="1" applyAlignment="1">
      <alignment horizontal="center" vertical="center"/>
    </xf>
    <xf numFmtId="0" fontId="12" fillId="3" borderId="1" xfId="4" applyFont="1" applyFill="1" applyBorder="1" applyAlignment="1">
      <alignment vertical="center"/>
    </xf>
    <xf numFmtId="1" fontId="12" fillId="0" borderId="14" xfId="6" applyNumberFormat="1" applyFont="1" applyBorder="1" applyAlignment="1" applyProtection="1">
      <alignment horizontal="center"/>
    </xf>
    <xf numFmtId="0" fontId="12" fillId="0" borderId="14" xfId="4" applyFont="1" applyBorder="1" applyAlignment="1">
      <alignment horizontal="center" vertical="center"/>
    </xf>
    <xf numFmtId="1" fontId="12" fillId="0" borderId="9" xfId="4" applyNumberFormat="1" applyFont="1" applyBorder="1" applyAlignment="1">
      <alignment horizontal="center" vertical="center"/>
    </xf>
    <xf numFmtId="0" fontId="19" fillId="10" borderId="0" xfId="4" applyFont="1" applyFill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9" fontId="0" fillId="0" borderId="14" xfId="8" applyFont="1" applyBorder="1" applyAlignment="1" applyProtection="1">
      <alignment horizontal="center" vertical="center"/>
    </xf>
    <xf numFmtId="0" fontId="22" fillId="0" borderId="9" xfId="4" applyBorder="1" applyAlignment="1">
      <alignment horizontal="center" vertical="center"/>
    </xf>
    <xf numFmtId="0" fontId="22" fillId="3" borderId="1" xfId="4" applyFill="1" applyBorder="1" applyAlignment="1">
      <alignment vertical="center"/>
    </xf>
    <xf numFmtId="0" fontId="22" fillId="0" borderId="14" xfId="4" applyBorder="1" applyAlignment="1">
      <alignment horizontal="center" vertical="center"/>
    </xf>
    <xf numFmtId="0" fontId="22" fillId="3" borderId="28" xfId="4" applyFill="1" applyBorder="1" applyAlignment="1">
      <alignment vertical="center"/>
    </xf>
    <xf numFmtId="1" fontId="0" fillId="0" borderId="15" xfId="6" applyNumberFormat="1" applyFont="1" applyBorder="1" applyAlignment="1" applyProtection="1">
      <alignment horizontal="center"/>
    </xf>
    <xf numFmtId="0" fontId="22" fillId="0" borderId="15" xfId="4" applyBorder="1" applyAlignment="1">
      <alignment horizontal="center" vertical="center"/>
    </xf>
    <xf numFmtId="1" fontId="22" fillId="0" borderId="6" xfId="4" applyNumberFormat="1" applyBorder="1" applyAlignment="1">
      <alignment horizontal="center" vertical="center"/>
    </xf>
    <xf numFmtId="0" fontId="22" fillId="11" borderId="0" xfId="4" applyFill="1" applyAlignment="1">
      <alignment horizontal="center"/>
    </xf>
    <xf numFmtId="1" fontId="22" fillId="10" borderId="0" xfId="4" applyNumberFormat="1" applyFill="1" applyAlignment="1">
      <alignment horizontal="center" vertical="center"/>
    </xf>
    <xf numFmtId="174" fontId="12" fillId="0" borderId="14" xfId="6" applyNumberFormat="1" applyFont="1" applyBorder="1" applyAlignment="1" applyProtection="1">
      <alignment horizontal="center" vertical="center"/>
    </xf>
    <xf numFmtId="0" fontId="12" fillId="3" borderId="14" xfId="4" applyFont="1" applyFill="1" applyBorder="1" applyAlignment="1">
      <alignment horizontal="center" vertical="center"/>
    </xf>
    <xf numFmtId="1" fontId="0" fillId="0" borderId="15" xfId="6" applyNumberFormat="1" applyFont="1" applyBorder="1" applyAlignment="1" applyProtection="1">
      <alignment horizontal="center" vertical="center"/>
    </xf>
    <xf numFmtId="0" fontId="12" fillId="10" borderId="0" xfId="4" applyFont="1" applyFill="1"/>
    <xf numFmtId="3" fontId="7" fillId="4" borderId="13" xfId="6" applyNumberFormat="1" applyFont="1" applyFill="1" applyBorder="1" applyAlignment="1" applyProtection="1">
      <alignment horizontal="center"/>
    </xf>
    <xf numFmtId="3" fontId="0" fillId="3" borderId="14" xfId="6" applyNumberFormat="1" applyFont="1" applyFill="1" applyBorder="1" applyAlignment="1" applyProtection="1">
      <alignment horizontal="center"/>
    </xf>
    <xf numFmtId="3" fontId="11" fillId="4" borderId="15" xfId="4" applyNumberFormat="1" applyFont="1" applyFill="1" applyBorder="1" applyAlignment="1">
      <alignment horizontal="center" vertical="center"/>
    </xf>
    <xf numFmtId="9" fontId="0" fillId="10" borderId="0" xfId="8" applyFont="1" applyFill="1" applyBorder="1" applyAlignment="1" applyProtection="1">
      <alignment horizontal="center"/>
    </xf>
    <xf numFmtId="171" fontId="9" fillId="0" borderId="45" xfId="4" applyNumberFormat="1" applyFont="1" applyBorder="1" applyAlignment="1">
      <alignment horizontal="center" vertical="center"/>
    </xf>
    <xf numFmtId="0" fontId="9" fillId="0" borderId="45" xfId="4" applyFont="1" applyBorder="1" applyAlignment="1">
      <alignment horizontal="center" vertical="center"/>
    </xf>
    <xf numFmtId="172" fontId="7" fillId="5" borderId="26" xfId="4" applyNumberFormat="1" applyFont="1" applyFill="1" applyBorder="1" applyAlignment="1">
      <alignment horizontal="center" vertical="center"/>
    </xf>
    <xf numFmtId="1" fontId="7" fillId="5" borderId="40" xfId="4" applyNumberFormat="1" applyFont="1" applyFill="1" applyBorder="1" applyAlignment="1">
      <alignment horizontal="center" vertical="center"/>
    </xf>
    <xf numFmtId="0" fontId="14" fillId="11" borderId="0" xfId="4" applyFont="1" applyFill="1" applyAlignment="1">
      <alignment horizontal="center" vertical="center"/>
    </xf>
    <xf numFmtId="0" fontId="15" fillId="2" borderId="11" xfId="4" applyFont="1" applyFill="1" applyBorder="1" applyAlignment="1">
      <alignment horizontal="center" vertical="center"/>
    </xf>
    <xf numFmtId="171" fontId="22" fillId="0" borderId="1" xfId="4" applyNumberFormat="1" applyBorder="1" applyAlignment="1">
      <alignment horizontal="center" vertical="center"/>
    </xf>
    <xf numFmtId="0" fontId="22" fillId="0" borderId="0" xfId="4"/>
    <xf numFmtId="172" fontId="10" fillId="0" borderId="0" xfId="7" applyNumberFormat="1" applyFont="1" applyBorder="1" applyAlignment="1" applyProtection="1">
      <alignment horizontal="center" vertical="center"/>
    </xf>
    <xf numFmtId="0" fontId="11" fillId="0" borderId="41" xfId="6" applyNumberFormat="1" applyFont="1" applyBorder="1" applyAlignment="1" applyProtection="1">
      <alignment horizontal="center"/>
    </xf>
    <xf numFmtId="0" fontId="11" fillId="8" borderId="16" xfId="4" applyFont="1" applyFill="1" applyBorder="1" applyAlignment="1">
      <alignment horizontal="center" vertical="center"/>
    </xf>
    <xf numFmtId="176" fontId="7" fillId="4" borderId="11" xfId="6" applyNumberFormat="1" applyFont="1" applyFill="1" applyBorder="1" applyAlignment="1" applyProtection="1">
      <alignment horizontal="center" vertical="center"/>
    </xf>
    <xf numFmtId="172" fontId="10" fillId="7" borderId="42" xfId="7" applyNumberFormat="1" applyFont="1" applyFill="1" applyBorder="1" applyAlignment="1" applyProtection="1">
      <alignment horizontal="center" vertical="center"/>
    </xf>
    <xf numFmtId="1" fontId="10" fillId="7" borderId="42" xfId="7" applyNumberFormat="1" applyFont="1" applyFill="1" applyBorder="1" applyAlignment="1" applyProtection="1">
      <alignment horizontal="center" vertical="center"/>
    </xf>
    <xf numFmtId="0" fontId="11" fillId="0" borderId="17" xfId="6" applyNumberFormat="1" applyFont="1" applyBorder="1" applyAlignment="1" applyProtection="1">
      <alignment horizontal="center"/>
    </xf>
    <xf numFmtId="171" fontId="19" fillId="10" borderId="0" xfId="4" applyNumberFormat="1" applyFont="1" applyFill="1" applyAlignment="1">
      <alignment horizontal="center" vertical="center"/>
    </xf>
    <xf numFmtId="172" fontId="25" fillId="10" borderId="0" xfId="7" applyNumberFormat="1" applyFont="1" applyFill="1" applyBorder="1" applyAlignment="1" applyProtection="1">
      <alignment horizontal="center" vertical="center"/>
    </xf>
    <xf numFmtId="172" fontId="10" fillId="10" borderId="0" xfId="7" applyNumberFormat="1" applyFont="1" applyFill="1" applyBorder="1" applyAlignment="1" applyProtection="1">
      <alignment horizontal="center" vertical="center"/>
    </xf>
    <xf numFmtId="173" fontId="10" fillId="10" borderId="0" xfId="7" applyNumberFormat="1" applyFont="1" applyFill="1" applyBorder="1" applyAlignment="1" applyProtection="1">
      <alignment horizontal="center" vertical="center"/>
    </xf>
    <xf numFmtId="0" fontId="11" fillId="0" borderId="23" xfId="6" applyNumberFormat="1" applyFont="1" applyBorder="1" applyAlignment="1" applyProtection="1">
      <alignment horizontal="center"/>
    </xf>
    <xf numFmtId="10" fontId="2" fillId="0" borderId="37" xfId="8" applyNumberFormat="1" applyBorder="1" applyAlignment="1" applyProtection="1">
      <alignment horizontal="center"/>
    </xf>
    <xf numFmtId="10" fontId="2" fillId="0" borderId="24" xfId="8" applyNumberFormat="1" applyBorder="1" applyAlignment="1" applyProtection="1">
      <alignment horizontal="center"/>
    </xf>
    <xf numFmtId="171" fontId="22" fillId="10" borderId="0" xfId="4" applyNumberFormat="1" applyFill="1" applyAlignment="1">
      <alignment horizontal="center" vertical="center"/>
    </xf>
    <xf numFmtId="172" fontId="15" fillId="11" borderId="0" xfId="7" applyNumberFormat="1" applyFont="1" applyFill="1" applyBorder="1" applyAlignment="1" applyProtection="1">
      <alignment horizontal="center" vertical="center"/>
    </xf>
    <xf numFmtId="0" fontId="11" fillId="0" borderId="19" xfId="6" applyNumberFormat="1" applyFont="1" applyBorder="1" applyAlignment="1" applyProtection="1">
      <alignment horizontal="center"/>
    </xf>
    <xf numFmtId="171" fontId="16" fillId="11" borderId="0" xfId="4" applyNumberFormat="1" applyFont="1" applyFill="1" applyAlignment="1">
      <alignment horizontal="center" vertical="center"/>
    </xf>
    <xf numFmtId="173" fontId="15" fillId="11" borderId="0" xfId="7" applyNumberFormat="1" applyFont="1" applyFill="1" applyBorder="1" applyAlignment="1" applyProtection="1">
      <alignment horizontal="center" vertical="center"/>
    </xf>
    <xf numFmtId="0" fontId="22" fillId="10" borderId="0" xfId="4" applyFill="1"/>
    <xf numFmtId="169" fontId="22" fillId="10" borderId="0" xfId="4" applyNumberFormat="1" applyFill="1" applyAlignment="1">
      <alignment horizontal="center" vertical="center"/>
    </xf>
    <xf numFmtId="0" fontId="16" fillId="10" borderId="0" xfId="4" applyFont="1" applyFill="1" applyAlignment="1">
      <alignment horizontal="center" vertical="center"/>
    </xf>
    <xf numFmtId="0" fontId="0" fillId="10" borderId="0" xfId="7" applyNumberFormat="1" applyFont="1" applyFill="1" applyBorder="1" applyAlignment="1" applyProtection="1">
      <alignment horizontal="center" vertical="center"/>
    </xf>
    <xf numFmtId="0" fontId="22" fillId="11" borderId="0" xfId="4" applyFill="1" applyAlignment="1">
      <alignment horizontal="center" vertical="center"/>
    </xf>
    <xf numFmtId="168" fontId="17" fillId="10" borderId="0" xfId="4" applyNumberFormat="1" applyFont="1" applyFill="1"/>
    <xf numFmtId="0" fontId="22" fillId="10" borderId="0" xfId="4" applyFill="1" applyAlignment="1">
      <alignment horizontal="center" vertical="distributed" wrapText="1"/>
    </xf>
    <xf numFmtId="0" fontId="16" fillId="10" borderId="0" xfId="4" applyFont="1" applyFill="1" applyAlignment="1">
      <alignment horizontal="center" vertical="distributed" wrapText="1"/>
    </xf>
    <xf numFmtId="0" fontId="12" fillId="11" borderId="0" xfId="4" applyFont="1" applyFill="1" applyAlignment="1">
      <alignment horizontal="center" vertical="center"/>
    </xf>
    <xf numFmtId="172" fontId="22" fillId="10" borderId="0" xfId="4" applyNumberFormat="1" applyFill="1" applyAlignment="1">
      <alignment horizontal="center" vertical="center"/>
    </xf>
    <xf numFmtId="9" fontId="0" fillId="10" borderId="0" xfId="8" applyFont="1" applyFill="1" applyBorder="1" applyAlignment="1" applyProtection="1">
      <alignment horizontal="center" vertical="center"/>
    </xf>
    <xf numFmtId="0" fontId="26" fillId="10" borderId="0" xfId="4" applyFont="1" applyFill="1" applyAlignment="1">
      <alignment horizontal="center" vertical="center"/>
    </xf>
    <xf numFmtId="10" fontId="24" fillId="10" borderId="0" xfId="8" applyNumberFormat="1" applyFont="1" applyFill="1" applyBorder="1" applyAlignment="1" applyProtection="1">
      <alignment horizontal="center"/>
    </xf>
    <xf numFmtId="0" fontId="22" fillId="3" borderId="17" xfId="4" applyFill="1" applyBorder="1" applyAlignment="1">
      <alignment horizontal="center"/>
    </xf>
    <xf numFmtId="0" fontId="22" fillId="3" borderId="19" xfId="4" applyFill="1" applyBorder="1" applyAlignment="1">
      <alignment horizontal="center"/>
    </xf>
    <xf numFmtId="0" fontId="22" fillId="3" borderId="2" xfId="4" applyFill="1" applyBorder="1" applyAlignment="1">
      <alignment horizontal="center"/>
    </xf>
    <xf numFmtId="0" fontId="22" fillId="3" borderId="7" xfId="4" applyFill="1" applyBorder="1" applyAlignment="1">
      <alignment horizontal="center"/>
    </xf>
    <xf numFmtId="0" fontId="22" fillId="3" borderId="5" xfId="4" applyFill="1" applyBorder="1" applyAlignment="1">
      <alignment horizontal="center"/>
    </xf>
    <xf numFmtId="3" fontId="27" fillId="0" borderId="0" xfId="10" applyNumberFormat="1" applyFont="1" applyAlignment="1">
      <alignment horizontal="center" vertical="center"/>
    </xf>
    <xf numFmtId="3" fontId="27" fillId="0" borderId="0" xfId="10" applyNumberFormat="1" applyFont="1" applyAlignment="1">
      <alignment horizontal="center" vertical="center" wrapText="1"/>
    </xf>
    <xf numFmtId="3" fontId="28" fillId="12" borderId="0" xfId="10" applyNumberFormat="1" applyFont="1" applyFill="1" applyAlignment="1">
      <alignment horizontal="center" vertical="center" wrapText="1"/>
    </xf>
    <xf numFmtId="1" fontId="27" fillId="0" borderId="0" xfId="10" applyNumberFormat="1" applyFont="1" applyAlignment="1">
      <alignment horizontal="center" vertical="center"/>
    </xf>
    <xf numFmtId="0" fontId="30" fillId="13" borderId="16" xfId="0" applyFont="1" applyFill="1" applyBorder="1" applyAlignment="1">
      <alignment horizontal="center" vertical="center"/>
    </xf>
    <xf numFmtId="165" fontId="30" fillId="14" borderId="16" xfId="10" applyFont="1" applyFill="1" applyBorder="1" applyAlignment="1">
      <alignment horizontal="center" vertical="center"/>
    </xf>
    <xf numFmtId="165" fontId="30" fillId="14" borderId="16" xfId="10" applyFont="1" applyFill="1" applyBorder="1" applyAlignment="1">
      <alignment horizontal="center" vertical="center" wrapText="1"/>
    </xf>
    <xf numFmtId="0" fontId="30" fillId="14" borderId="16" xfId="0" applyFont="1" applyFill="1" applyBorder="1" applyAlignment="1">
      <alignment horizontal="center" vertical="center"/>
    </xf>
    <xf numFmtId="0" fontId="30" fillId="14" borderId="16" xfId="0" applyFont="1" applyFill="1" applyBorder="1" applyAlignment="1">
      <alignment horizontal="center" vertical="center" wrapText="1"/>
    </xf>
    <xf numFmtId="9" fontId="30" fillId="14" borderId="16" xfId="11" applyFont="1" applyFill="1" applyBorder="1" applyAlignment="1">
      <alignment horizontal="center" vertical="center"/>
    </xf>
    <xf numFmtId="1" fontId="30" fillId="15" borderId="16" xfId="0" applyNumberFormat="1" applyFont="1" applyFill="1" applyBorder="1" applyAlignment="1">
      <alignment horizontal="center" vertical="center" wrapText="1"/>
    </xf>
    <xf numFmtId="0" fontId="30" fillId="15" borderId="16" xfId="0" applyFont="1" applyFill="1" applyBorder="1" applyAlignment="1">
      <alignment horizontal="center" vertical="center"/>
    </xf>
    <xf numFmtId="0" fontId="30" fillId="15" borderId="16" xfId="0" applyFont="1" applyFill="1" applyBorder="1" applyAlignment="1">
      <alignment horizontal="center" vertical="center" wrapText="1"/>
    </xf>
    <xf numFmtId="0" fontId="30" fillId="15" borderId="39" xfId="0" applyFont="1" applyFill="1" applyBorder="1" applyAlignment="1">
      <alignment horizontal="center" vertical="center"/>
    </xf>
    <xf numFmtId="9" fontId="30" fillId="15" borderId="16" xfId="0" applyNumberFormat="1" applyFont="1" applyFill="1" applyBorder="1" applyAlignment="1">
      <alignment horizontal="center" vertical="center"/>
    </xf>
    <xf numFmtId="9" fontId="27" fillId="0" borderId="0" xfId="11" applyFont="1" applyAlignment="1">
      <alignment horizontal="center" vertical="center"/>
    </xf>
    <xf numFmtId="0" fontId="31" fillId="0" borderId="0" xfId="0" applyFont="1" applyAlignment="1">
      <alignment horizontal="center"/>
    </xf>
    <xf numFmtId="164" fontId="23" fillId="10" borderId="0" xfId="4" applyNumberFormat="1" applyFont="1" applyFill="1" applyAlignment="1">
      <alignment horizontal="center" vertical="center"/>
    </xf>
    <xf numFmtId="164" fontId="19" fillId="10" borderId="0" xfId="4" applyNumberFormat="1" applyFont="1" applyFill="1" applyAlignment="1">
      <alignment horizontal="center" vertical="center"/>
    </xf>
    <xf numFmtId="164" fontId="22" fillId="10" borderId="0" xfId="4" applyNumberFormat="1" applyFill="1" applyAlignment="1">
      <alignment horizontal="center" vertical="center"/>
    </xf>
    <xf numFmtId="178" fontId="16" fillId="11" borderId="0" xfId="4" applyNumberFormat="1" applyFont="1" applyFill="1" applyAlignment="1">
      <alignment horizontal="center" vertical="center"/>
    </xf>
    <xf numFmtId="167" fontId="26" fillId="10" borderId="0" xfId="7" applyFont="1" applyFill="1" applyBorder="1" applyAlignment="1" applyProtection="1">
      <alignment horizontal="center" vertical="center"/>
    </xf>
    <xf numFmtId="14" fontId="34" fillId="11" borderId="21" xfId="4" applyNumberFormat="1" applyFont="1" applyFill="1" applyBorder="1" applyAlignment="1">
      <alignment vertical="center"/>
    </xf>
    <xf numFmtId="1" fontId="10" fillId="0" borderId="44" xfId="7" applyNumberFormat="1" applyFont="1" applyBorder="1" applyAlignment="1" applyProtection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9" fontId="0" fillId="0" borderId="54" xfId="11" applyFont="1" applyFill="1" applyBorder="1" applyAlignment="1">
      <alignment horizontal="center" vertical="center"/>
    </xf>
    <xf numFmtId="165" fontId="0" fillId="0" borderId="54" xfId="11" applyNumberFormat="1" applyFont="1" applyFill="1" applyBorder="1" applyAlignment="1">
      <alignment horizontal="center" vertical="center"/>
    </xf>
    <xf numFmtId="1" fontId="0" fillId="0" borderId="54" xfId="11" applyNumberFormat="1" applyFont="1" applyFill="1" applyBorder="1" applyAlignment="1">
      <alignment horizontal="center" vertical="center"/>
    </xf>
    <xf numFmtId="1" fontId="0" fillId="0" borderId="54" xfId="0" applyNumberFormat="1" applyBorder="1" applyAlignment="1">
      <alignment horizontal="center" vertical="center"/>
    </xf>
    <xf numFmtId="1" fontId="0" fillId="0" borderId="55" xfId="11" applyNumberFormat="1" applyFont="1" applyFill="1" applyBorder="1" applyAlignment="1">
      <alignment horizontal="center" vertical="center"/>
    </xf>
    <xf numFmtId="166" fontId="21" fillId="0" borderId="34" xfId="6" applyNumberFormat="1" applyBorder="1" applyProtection="1"/>
    <xf numFmtId="166" fontId="7" fillId="6" borderId="4" xfId="6" applyNumberFormat="1" applyFont="1" applyFill="1" applyBorder="1" applyAlignment="1" applyProtection="1">
      <alignment horizontal="center" vertical="center"/>
    </xf>
    <xf numFmtId="166" fontId="21" fillId="0" borderId="14" xfId="6" applyNumberFormat="1" applyBorder="1" applyProtection="1"/>
    <xf numFmtId="166" fontId="9" fillId="0" borderId="10" xfId="6" applyNumberFormat="1" applyFont="1" applyBorder="1" applyProtection="1"/>
    <xf numFmtId="166" fontId="21" fillId="0" borderId="35" xfId="6" applyNumberFormat="1" applyBorder="1" applyProtection="1"/>
    <xf numFmtId="166" fontId="7" fillId="4" borderId="13" xfId="6" applyNumberFormat="1" applyFont="1" applyFill="1" applyBorder="1" applyAlignment="1" applyProtection="1">
      <alignment horizontal="center" vertical="center"/>
    </xf>
    <xf numFmtId="166" fontId="0" fillId="10" borderId="0" xfId="6" applyNumberFormat="1" applyFont="1" applyFill="1" applyBorder="1" applyAlignment="1" applyProtection="1">
      <alignment horizontal="center" vertical="center"/>
    </xf>
    <xf numFmtId="166" fontId="0" fillId="0" borderId="14" xfId="6" applyNumberFormat="1" applyFont="1" applyBorder="1" applyAlignment="1" applyProtection="1">
      <alignment horizontal="center"/>
    </xf>
    <xf numFmtId="166" fontId="0" fillId="0" borderId="8" xfId="6" applyNumberFormat="1" applyFont="1" applyBorder="1" applyAlignment="1" applyProtection="1">
      <alignment horizontal="center"/>
    </xf>
    <xf numFmtId="166" fontId="9" fillId="0" borderId="8" xfId="6" applyNumberFormat="1" applyFont="1" applyBorder="1" applyProtection="1"/>
    <xf numFmtId="166" fontId="0" fillId="0" borderId="15" xfId="6" applyNumberFormat="1" applyFont="1" applyBorder="1" applyAlignment="1" applyProtection="1">
      <alignment horizontal="center"/>
    </xf>
    <xf numFmtId="166" fontId="21" fillId="0" borderId="10" xfId="6" applyNumberFormat="1" applyBorder="1" applyProtection="1"/>
    <xf numFmtId="166" fontId="7" fillId="4" borderId="49" xfId="6" applyNumberFormat="1" applyFont="1" applyFill="1" applyBorder="1" applyAlignment="1" applyProtection="1">
      <alignment horizontal="center" vertical="center"/>
    </xf>
    <xf numFmtId="166" fontId="7" fillId="4" borderId="50" xfId="6" applyNumberFormat="1" applyFont="1" applyFill="1" applyBorder="1" applyAlignment="1" applyProtection="1">
      <alignment horizontal="center" vertical="center"/>
    </xf>
    <xf numFmtId="166" fontId="15" fillId="11" borderId="0" xfId="6" applyNumberFormat="1" applyFont="1" applyFill="1" applyBorder="1" applyAlignment="1" applyProtection="1">
      <alignment horizontal="center"/>
    </xf>
    <xf numFmtId="166" fontId="21" fillId="0" borderId="13" xfId="6" applyNumberFormat="1" applyBorder="1" applyProtection="1"/>
    <xf numFmtId="166" fontId="19" fillId="0" borderId="14" xfId="6" applyNumberFormat="1" applyFont="1" applyBorder="1" applyAlignment="1" applyProtection="1">
      <alignment horizontal="center" vertical="center"/>
    </xf>
    <xf numFmtId="166" fontId="11" fillId="0" borderId="41" xfId="6" applyNumberFormat="1" applyFont="1" applyBorder="1" applyProtection="1"/>
    <xf numFmtId="166" fontId="21" fillId="0" borderId="36" xfId="6" applyNumberFormat="1" applyBorder="1" applyAlignment="1" applyProtection="1">
      <alignment horizontal="center"/>
    </xf>
    <xf numFmtId="166" fontId="21" fillId="0" borderId="29" xfId="6" applyNumberFormat="1" applyBorder="1" applyAlignment="1" applyProtection="1">
      <alignment horizontal="center"/>
    </xf>
    <xf numFmtId="166" fontId="21" fillId="0" borderId="38" xfId="6" applyNumberFormat="1" applyBorder="1" applyAlignment="1" applyProtection="1">
      <alignment horizontal="center"/>
    </xf>
    <xf numFmtId="166" fontId="21" fillId="0" borderId="25" xfId="6" applyNumberFormat="1" applyBorder="1" applyAlignment="1" applyProtection="1">
      <alignment horizontal="center"/>
    </xf>
    <xf numFmtId="43" fontId="16" fillId="11" borderId="0" xfId="4" applyNumberFormat="1" applyFont="1" applyFill="1" applyAlignment="1">
      <alignment horizontal="center" vertical="center"/>
    </xf>
    <xf numFmtId="44" fontId="1" fillId="6" borderId="0" xfId="10" applyNumberFormat="1" applyFont="1" applyFill="1" applyAlignment="1">
      <alignment horizontal="center" vertical="top"/>
    </xf>
    <xf numFmtId="165" fontId="0" fillId="0" borderId="54" xfId="10" applyFont="1" applyFill="1" applyBorder="1" applyAlignment="1">
      <alignment horizontal="center" vertical="center"/>
    </xf>
    <xf numFmtId="166" fontId="10" fillId="0" borderId="43" xfId="7" applyNumberFormat="1" applyFont="1" applyBorder="1" applyAlignment="1" applyProtection="1">
      <alignment horizontal="center"/>
    </xf>
    <xf numFmtId="166" fontId="10" fillId="0" borderId="44" xfId="7" applyNumberFormat="1" applyFont="1" applyBorder="1" applyAlignment="1" applyProtection="1">
      <alignment horizontal="center"/>
    </xf>
    <xf numFmtId="166" fontId="10" fillId="0" borderId="52" xfId="7" applyNumberFormat="1" applyFont="1" applyBorder="1" applyAlignment="1" applyProtection="1">
      <alignment horizontal="center"/>
    </xf>
    <xf numFmtId="166" fontId="10" fillId="0" borderId="44" xfId="10" applyNumberFormat="1" applyFont="1" applyBorder="1" applyAlignment="1" applyProtection="1">
      <alignment horizontal="center"/>
    </xf>
    <xf numFmtId="166" fontId="10" fillId="0" borderId="45" xfId="7" applyNumberFormat="1" applyFont="1" applyBorder="1" applyAlignment="1" applyProtection="1">
      <alignment horizontal="center"/>
    </xf>
    <xf numFmtId="1" fontId="10" fillId="0" borderId="43" xfId="7" applyNumberFormat="1" applyFont="1" applyBorder="1" applyAlignment="1" applyProtection="1">
      <alignment horizontal="center"/>
    </xf>
    <xf numFmtId="176" fontId="0" fillId="0" borderId="0" xfId="0" applyNumberFormat="1"/>
    <xf numFmtId="10" fontId="0" fillId="0" borderId="0" xfId="0" applyNumberFormat="1"/>
    <xf numFmtId="166" fontId="0" fillId="0" borderId="0" xfId="0" applyNumberFormat="1"/>
    <xf numFmtId="169" fontId="0" fillId="0" borderId="0" xfId="0" applyNumberFormat="1"/>
    <xf numFmtId="179" fontId="0" fillId="0" borderId="0" xfId="0" applyNumberFormat="1"/>
    <xf numFmtId="0" fontId="5" fillId="9" borderId="12" xfId="4" applyFont="1" applyFill="1" applyBorder="1" applyAlignment="1">
      <alignment horizontal="center" vertical="center" wrapText="1"/>
    </xf>
    <xf numFmtId="0" fontId="5" fillId="9" borderId="22" xfId="4" applyFont="1" applyFill="1" applyBorder="1" applyAlignment="1">
      <alignment horizontal="center" vertical="center" wrapText="1"/>
    </xf>
    <xf numFmtId="0" fontId="5" fillId="2" borderId="12" xfId="4" applyFont="1" applyFill="1" applyBorder="1" applyAlignment="1">
      <alignment horizontal="center" vertical="center"/>
    </xf>
    <xf numFmtId="0" fontId="5" fillId="2" borderId="21" xfId="4" applyFont="1" applyFill="1" applyBorder="1" applyAlignment="1">
      <alignment horizontal="center" vertical="center"/>
    </xf>
    <xf numFmtId="0" fontId="5" fillId="2" borderId="22" xfId="4" applyFont="1" applyFill="1" applyBorder="1" applyAlignment="1">
      <alignment horizontal="center" vertical="center"/>
    </xf>
    <xf numFmtId="0" fontId="5" fillId="2" borderId="39" xfId="4" applyFont="1" applyFill="1" applyBorder="1" applyAlignment="1">
      <alignment horizontal="center" vertical="center"/>
    </xf>
    <xf numFmtId="0" fontId="5" fillId="2" borderId="56" xfId="4" applyFont="1" applyFill="1" applyBorder="1" applyAlignment="1">
      <alignment horizontal="center" vertical="center"/>
    </xf>
    <xf numFmtId="0" fontId="5" fillId="2" borderId="57" xfId="4" applyFont="1" applyFill="1" applyBorder="1" applyAlignment="1">
      <alignment horizontal="center" vertical="center"/>
    </xf>
    <xf numFmtId="0" fontId="5" fillId="9" borderId="17" xfId="4" applyFont="1" applyFill="1" applyBorder="1" applyAlignment="1">
      <alignment horizontal="center" vertical="center"/>
    </xf>
    <xf numFmtId="0" fontId="5" fillId="9" borderId="29" xfId="4" applyFont="1" applyFill="1" applyBorder="1" applyAlignment="1">
      <alignment horizontal="center" vertical="center"/>
    </xf>
    <xf numFmtId="0" fontId="5" fillId="9" borderId="4" xfId="4" applyFont="1" applyFill="1" applyBorder="1" applyAlignment="1">
      <alignment horizontal="center" vertical="center"/>
    </xf>
    <xf numFmtId="0" fontId="6" fillId="0" borderId="30" xfId="4" applyFont="1" applyBorder="1" applyAlignment="1">
      <alignment horizontal="center" vertical="center"/>
    </xf>
    <xf numFmtId="0" fontId="6" fillId="0" borderId="18" xfId="4" applyFont="1" applyBorder="1" applyAlignment="1">
      <alignment horizontal="center" vertical="center"/>
    </xf>
    <xf numFmtId="0" fontId="22" fillId="3" borderId="17" xfId="4" applyFill="1" applyBorder="1" applyAlignment="1">
      <alignment horizontal="center" vertical="center"/>
    </xf>
    <xf numFmtId="0" fontId="22" fillId="3" borderId="29" xfId="4" applyFill="1" applyBorder="1" applyAlignment="1">
      <alignment horizontal="center" vertical="center"/>
    </xf>
    <xf numFmtId="0" fontId="22" fillId="3" borderId="4" xfId="4" applyFill="1" applyBorder="1" applyAlignment="1">
      <alignment horizontal="center" vertical="center"/>
    </xf>
    <xf numFmtId="0" fontId="5" fillId="9" borderId="19" xfId="4" applyFont="1" applyFill="1" applyBorder="1" applyAlignment="1">
      <alignment horizontal="center" vertical="center"/>
    </xf>
    <xf numFmtId="0" fontId="5" fillId="9" borderId="25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1" fontId="6" fillId="4" borderId="27" xfId="4" applyNumberFormat="1" applyFont="1" applyFill="1" applyBorder="1" applyAlignment="1">
      <alignment horizontal="center" vertical="center"/>
    </xf>
    <xf numFmtId="1" fontId="6" fillId="4" borderId="20" xfId="4" applyNumberFormat="1" applyFont="1" applyFill="1" applyBorder="1" applyAlignment="1">
      <alignment horizontal="center" vertical="center"/>
    </xf>
    <xf numFmtId="0" fontId="22" fillId="3" borderId="23" xfId="4" applyFill="1" applyBorder="1" applyAlignment="1">
      <alignment horizontal="center" vertical="center"/>
    </xf>
    <xf numFmtId="0" fontId="22" fillId="3" borderId="24" xfId="4" applyFill="1" applyBorder="1" applyAlignment="1">
      <alignment horizontal="center" vertical="center"/>
    </xf>
    <xf numFmtId="0" fontId="22" fillId="3" borderId="8" xfId="4" applyFill="1" applyBorder="1" applyAlignment="1">
      <alignment horizontal="center" vertical="center"/>
    </xf>
    <xf numFmtId="177" fontId="33" fillId="11" borderId="21" xfId="4" applyNumberFormat="1" applyFont="1" applyFill="1" applyBorder="1" applyAlignment="1">
      <alignment horizontal="center" vertical="center"/>
    </xf>
    <xf numFmtId="0" fontId="22" fillId="3" borderId="19" xfId="4" applyFill="1" applyBorder="1" applyAlignment="1">
      <alignment horizontal="center" vertical="center"/>
    </xf>
    <xf numFmtId="0" fontId="22" fillId="3" borderId="25" xfId="4" applyFill="1" applyBorder="1" applyAlignment="1">
      <alignment horizontal="center" vertical="center"/>
    </xf>
    <xf numFmtId="0" fontId="22" fillId="3" borderId="10" xfId="4" applyFill="1" applyBorder="1" applyAlignment="1">
      <alignment horizontal="center" vertical="center"/>
    </xf>
    <xf numFmtId="167" fontId="8" fillId="4" borderId="12" xfId="7" applyFont="1" applyFill="1" applyBorder="1" applyAlignment="1" applyProtection="1">
      <alignment horizontal="center" vertical="center"/>
    </xf>
    <xf numFmtId="167" fontId="8" fillId="4" borderId="22" xfId="7" applyFont="1" applyFill="1" applyBorder="1" applyAlignment="1" applyProtection="1">
      <alignment horizontal="center" vertical="center"/>
    </xf>
    <xf numFmtId="170" fontId="18" fillId="3" borderId="12" xfId="4" applyNumberFormat="1" applyFont="1" applyFill="1" applyBorder="1" applyAlignment="1">
      <alignment horizontal="center" vertical="center"/>
    </xf>
    <xf numFmtId="170" fontId="18" fillId="3" borderId="21" xfId="4" applyNumberFormat="1" applyFont="1" applyFill="1" applyBorder="1" applyAlignment="1">
      <alignment horizontal="center" vertical="center"/>
    </xf>
    <xf numFmtId="170" fontId="18" fillId="3" borderId="22" xfId="4" applyNumberFormat="1" applyFont="1" applyFill="1" applyBorder="1" applyAlignment="1">
      <alignment horizontal="center" vertical="center"/>
    </xf>
    <xf numFmtId="0" fontId="22" fillId="3" borderId="47" xfId="4" applyFill="1" applyBorder="1" applyAlignment="1">
      <alignment horizontal="center"/>
    </xf>
    <xf numFmtId="0" fontId="22" fillId="3" borderId="8" xfId="4" applyFill="1" applyBorder="1" applyAlignment="1">
      <alignment horizontal="center"/>
    </xf>
    <xf numFmtId="0" fontId="22" fillId="3" borderId="17" xfId="4" applyFill="1" applyBorder="1" applyAlignment="1">
      <alignment horizontal="center"/>
    </xf>
    <xf numFmtId="0" fontId="22" fillId="3" borderId="29" xfId="4" applyFill="1" applyBorder="1" applyAlignment="1">
      <alignment horizontal="center"/>
    </xf>
    <xf numFmtId="0" fontId="22" fillId="3" borderId="4" xfId="4" applyFill="1" applyBorder="1" applyAlignment="1">
      <alignment horizontal="center"/>
    </xf>
    <xf numFmtId="0" fontId="22" fillId="3" borderId="23" xfId="4" applyFill="1" applyBorder="1" applyAlignment="1">
      <alignment horizontal="center"/>
    </xf>
    <xf numFmtId="0" fontId="22" fillId="3" borderId="24" xfId="4" applyFill="1" applyBorder="1" applyAlignment="1">
      <alignment horizontal="center"/>
    </xf>
    <xf numFmtId="0" fontId="22" fillId="3" borderId="19" xfId="4" applyFill="1" applyBorder="1" applyAlignment="1">
      <alignment horizontal="center"/>
    </xf>
    <xf numFmtId="0" fontId="22" fillId="3" borderId="25" xfId="4" applyFill="1" applyBorder="1" applyAlignment="1">
      <alignment horizontal="center"/>
    </xf>
    <xf numFmtId="0" fontId="22" fillId="3" borderId="10" xfId="4" applyFill="1" applyBorder="1" applyAlignment="1">
      <alignment horizontal="center"/>
    </xf>
    <xf numFmtId="0" fontId="22" fillId="0" borderId="17" xfId="4" applyBorder="1" applyAlignment="1">
      <alignment horizontal="center"/>
    </xf>
    <xf numFmtId="0" fontId="22" fillId="0" borderId="29" xfId="4" applyBorder="1" applyAlignment="1">
      <alignment horizontal="center"/>
    </xf>
    <xf numFmtId="0" fontId="22" fillId="0" borderId="4" xfId="4" applyBorder="1" applyAlignment="1">
      <alignment horizontal="center"/>
    </xf>
    <xf numFmtId="0" fontId="22" fillId="0" borderId="19" xfId="4" applyBorder="1" applyAlignment="1">
      <alignment horizontal="center"/>
    </xf>
    <xf numFmtId="0" fontId="22" fillId="0" borderId="25" xfId="4" applyBorder="1" applyAlignment="1">
      <alignment horizontal="center"/>
    </xf>
    <xf numFmtId="0" fontId="22" fillId="0" borderId="10" xfId="4" applyBorder="1" applyAlignment="1">
      <alignment horizontal="center"/>
    </xf>
    <xf numFmtId="0" fontId="22" fillId="3" borderId="46" xfId="4" applyFill="1" applyBorder="1" applyAlignment="1">
      <alignment horizontal="center"/>
    </xf>
    <xf numFmtId="0" fontId="22" fillId="3" borderId="48" xfId="4" applyFill="1" applyBorder="1" applyAlignment="1">
      <alignment horizontal="center"/>
    </xf>
    <xf numFmtId="0" fontId="22" fillId="3" borderId="46" xfId="4" applyFill="1" applyBorder="1" applyAlignment="1">
      <alignment horizontal="center" vertical="center"/>
    </xf>
    <xf numFmtId="0" fontId="13" fillId="3" borderId="47" xfId="4" applyFont="1" applyFill="1" applyBorder="1" applyAlignment="1">
      <alignment horizontal="center" vertical="center"/>
    </xf>
    <xf numFmtId="0" fontId="13" fillId="3" borderId="8" xfId="4" applyFont="1" applyFill="1" applyBorder="1" applyAlignment="1">
      <alignment horizontal="center" vertical="center"/>
    </xf>
    <xf numFmtId="0" fontId="22" fillId="3" borderId="47" xfId="4" applyFill="1" applyBorder="1" applyAlignment="1">
      <alignment horizontal="center" vertical="center"/>
    </xf>
    <xf numFmtId="0" fontId="22" fillId="3" borderId="48" xfId="4" applyFill="1" applyBorder="1" applyAlignment="1">
      <alignment horizontal="center" vertical="center"/>
    </xf>
    <xf numFmtId="0" fontId="21" fillId="0" borderId="17" xfId="6" applyNumberFormat="1" applyBorder="1" applyAlignment="1" applyProtection="1">
      <alignment horizontal="center"/>
    </xf>
    <xf numFmtId="0" fontId="21" fillId="0" borderId="29" xfId="6" applyNumberFormat="1" applyBorder="1" applyAlignment="1" applyProtection="1">
      <alignment horizontal="center"/>
    </xf>
    <xf numFmtId="0" fontId="21" fillId="0" borderId="4" xfId="6" applyNumberFormat="1" applyBorder="1" applyAlignment="1" applyProtection="1">
      <alignment horizontal="center"/>
    </xf>
    <xf numFmtId="0" fontId="7" fillId="0" borderId="30" xfId="4" applyFont="1" applyBorder="1" applyAlignment="1">
      <alignment horizontal="center"/>
    </xf>
    <xf numFmtId="0" fontId="7" fillId="0" borderId="18" xfId="4" applyFont="1" applyBorder="1" applyAlignment="1">
      <alignment horizontal="center"/>
    </xf>
    <xf numFmtId="0" fontId="0" fillId="0" borderId="23" xfId="6" applyNumberFormat="1" applyFont="1" applyBorder="1" applyAlignment="1" applyProtection="1">
      <alignment horizontal="center"/>
    </xf>
    <xf numFmtId="0" fontId="0" fillId="0" borderId="24" xfId="6" applyNumberFormat="1" applyFont="1" applyBorder="1" applyAlignment="1" applyProtection="1">
      <alignment horizontal="center"/>
    </xf>
    <xf numFmtId="0" fontId="0" fillId="0" borderId="8" xfId="6" applyNumberFormat="1" applyFont="1" applyBorder="1" applyAlignment="1" applyProtection="1">
      <alignment horizontal="center"/>
    </xf>
    <xf numFmtId="10" fontId="0" fillId="0" borderId="31" xfId="8" applyNumberFormat="1" applyFont="1" applyBorder="1" applyAlignment="1" applyProtection="1">
      <alignment horizontal="center"/>
    </xf>
    <xf numFmtId="10" fontId="0" fillId="0" borderId="33" xfId="8" applyNumberFormat="1" applyFont="1" applyBorder="1" applyAlignment="1" applyProtection="1">
      <alignment horizontal="center"/>
    </xf>
    <xf numFmtId="0" fontId="21" fillId="0" borderId="23" xfId="6" applyNumberFormat="1" applyBorder="1" applyAlignment="1" applyProtection="1">
      <alignment horizontal="center"/>
    </xf>
    <xf numFmtId="0" fontId="21" fillId="0" borderId="24" xfId="6" applyNumberFormat="1" applyBorder="1" applyAlignment="1" applyProtection="1">
      <alignment horizontal="center"/>
    </xf>
    <xf numFmtId="0" fontId="21" fillId="0" borderId="8" xfId="6" applyNumberFormat="1" applyBorder="1" applyAlignment="1" applyProtection="1">
      <alignment horizontal="center"/>
    </xf>
    <xf numFmtId="0" fontId="21" fillId="0" borderId="19" xfId="6" applyNumberFormat="1" applyBorder="1" applyAlignment="1" applyProtection="1">
      <alignment horizontal="center"/>
    </xf>
    <xf numFmtId="0" fontId="21" fillId="0" borderId="25" xfId="6" applyNumberFormat="1" applyBorder="1" applyAlignment="1" applyProtection="1">
      <alignment horizontal="center"/>
    </xf>
    <xf numFmtId="0" fontId="21" fillId="0" borderId="10" xfId="6" applyNumberFormat="1" applyBorder="1" applyAlignment="1" applyProtection="1">
      <alignment horizontal="center"/>
    </xf>
    <xf numFmtId="10" fontId="0" fillId="0" borderId="27" xfId="8" applyNumberFormat="1" applyFont="1" applyBorder="1" applyAlignment="1" applyProtection="1">
      <alignment horizontal="center"/>
    </xf>
    <xf numFmtId="10" fontId="0" fillId="0" borderId="20" xfId="8" applyNumberFormat="1" applyFont="1" applyBorder="1" applyAlignment="1" applyProtection="1">
      <alignment horizontal="center"/>
    </xf>
    <xf numFmtId="0" fontId="7" fillId="5" borderId="12" xfId="4" applyFont="1" applyFill="1" applyBorder="1" applyAlignment="1">
      <alignment horizontal="center" vertical="distributed" wrapText="1"/>
    </xf>
    <xf numFmtId="0" fontId="7" fillId="5" borderId="32" xfId="4" applyFont="1" applyFill="1" applyBorder="1" applyAlignment="1">
      <alignment horizontal="center" vertical="distributed" wrapText="1"/>
    </xf>
    <xf numFmtId="171" fontId="22" fillId="6" borderId="28" xfId="4" applyNumberFormat="1" applyFill="1" applyBorder="1" applyAlignment="1">
      <alignment horizontal="center" vertical="center"/>
    </xf>
    <xf numFmtId="171" fontId="22" fillId="6" borderId="51" xfId="4" applyNumberFormat="1" applyFill="1" applyBorder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" fontId="29" fillId="15" borderId="0" xfId="10" applyNumberFormat="1" applyFont="1" applyFill="1" applyAlignment="1">
      <alignment horizontal="center" vertical="center"/>
    </xf>
    <xf numFmtId="177" fontId="32" fillId="11" borderId="21" xfId="4" applyNumberFormat="1" applyFont="1" applyFill="1" applyBorder="1" applyAlignment="1">
      <alignment horizontal="center"/>
    </xf>
  </cellXfs>
  <cellStyles count="12">
    <cellStyle name="Moeda" xfId="10" builtinId="4"/>
    <cellStyle name="Moeda 2" xfId="6" xr:uid="{8DE5BAD2-2C9F-4D4E-A163-E1C37414CB60}"/>
    <cellStyle name="Moeda 2 2" xfId="9" xr:uid="{7E2CFDA0-8776-405B-9898-C100A569271C}"/>
    <cellStyle name="Moeda 2 5" xfId="5" xr:uid="{5C9A5FDF-2D6C-46D9-8084-116D30C2103A}"/>
    <cellStyle name="Normal" xfId="0" builtinId="0"/>
    <cellStyle name="Normal 10" xfId="3" xr:uid="{FACA758C-5FF8-4317-BC83-BA75E7A601F5}"/>
    <cellStyle name="Normal 13" xfId="2" xr:uid="{5ED48C7D-2F4C-48CC-82E4-6066946D6057}"/>
    <cellStyle name="Normal 2" xfId="4" xr:uid="{8F862329-C65B-4425-8E43-98781DB4F0FF}"/>
    <cellStyle name="Porcentagem" xfId="11" builtinId="5"/>
    <cellStyle name="Porcentagem 2" xfId="8" xr:uid="{1E1F1989-73B6-4E08-9894-D68239EDAED8}"/>
    <cellStyle name="Texto Explicativo" xfId="1" builtinId="53" customBuiltin="1"/>
    <cellStyle name="Vírgula 2" xfId="7" xr:uid="{26482D8A-021C-411E-BA71-BD9F7093055E}"/>
  </cellStyles>
  <dxfs count="2">
    <dxf>
      <font>
        <b/>
        <i val="0"/>
        <color rgb="FFFFFFFF"/>
      </font>
      <fill>
        <patternFill>
          <bgColor rgb="FFA6A6A6"/>
        </patternFill>
      </fill>
    </dxf>
    <dxf>
      <font>
        <b/>
        <i val="0"/>
      </font>
      <fill>
        <patternFill>
          <bgColor rgb="FFA6A6A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A5D8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2060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35718</xdr:colOff>
      <xdr:row>0</xdr:row>
      <xdr:rowOff>35720</xdr:rowOff>
    </xdr:from>
    <xdr:to>
      <xdr:col>4</xdr:col>
      <xdr:colOff>225208</xdr:colOff>
      <xdr:row>1</xdr:row>
      <xdr:rowOff>190501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B75B599-3E97-4872-8BA3-00A0ADCC9A63}"/>
            </a:ext>
          </a:extLst>
        </xdr:cNvPr>
        <xdr:cNvPicPr/>
      </xdr:nvPicPr>
      <xdr:blipFill>
        <a:blip xmlns:r="http://schemas.openxmlformats.org/officeDocument/2006/relationships" r:embed="rId1"/>
        <a:srcRect t="13877" b="19435"/>
        <a:stretch/>
      </xdr:blipFill>
      <xdr:spPr>
        <a:xfrm>
          <a:off x="540543" y="35720"/>
          <a:ext cx="2711884" cy="345281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106680</xdr:colOff>
      <xdr:row>0</xdr:row>
      <xdr:rowOff>60960</xdr:rowOff>
    </xdr:from>
    <xdr:to>
      <xdr:col>2</xdr:col>
      <xdr:colOff>365760</xdr:colOff>
      <xdr:row>0</xdr:row>
      <xdr:rowOff>380269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25BF801-BF7E-4B8E-937C-324357A64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60960"/>
          <a:ext cx="2217420" cy="319309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0</xdr:row>
      <xdr:rowOff>7620</xdr:rowOff>
    </xdr:from>
    <xdr:to>
      <xdr:col>3</xdr:col>
      <xdr:colOff>1160699</xdr:colOff>
      <xdr:row>0</xdr:row>
      <xdr:rowOff>464820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44DE3B9-6C22-8FA5-18DB-2DD0862A6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16580" y="7620"/>
          <a:ext cx="627299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C5363-4FB7-40CF-9BF9-A9B9EEF802AC}">
  <sheetPr>
    <tabColor theme="8"/>
  </sheetPr>
  <dimension ref="A1:T60"/>
  <sheetViews>
    <sheetView showGridLines="0" tabSelected="1" zoomScale="70" zoomScaleNormal="70" workbookViewId="0">
      <selection activeCell="L26" sqref="L26"/>
    </sheetView>
  </sheetViews>
  <sheetFormatPr defaultColWidth="9.109375" defaultRowHeight="14.4" x14ac:dyDescent="0.3"/>
  <cols>
    <col min="1" max="1" width="1.88671875" bestFit="1" customWidth="1"/>
    <col min="2" max="2" width="10.44140625" bestFit="1" customWidth="1"/>
    <col min="3" max="3" width="18.109375" bestFit="1" customWidth="1"/>
    <col min="4" max="4" width="18.6640625" bestFit="1" customWidth="1"/>
    <col min="5" max="6" width="20.6640625" bestFit="1" customWidth="1"/>
    <col min="7" max="7" width="14.21875" bestFit="1" customWidth="1"/>
    <col min="8" max="8" width="2" customWidth="1"/>
    <col min="9" max="9" width="18.33203125" bestFit="1" customWidth="1"/>
    <col min="10" max="10" width="17.44140625" bestFit="1" customWidth="1"/>
    <col min="11" max="11" width="16.6640625" bestFit="1" customWidth="1"/>
    <col min="12" max="12" width="20.33203125" bestFit="1" customWidth="1"/>
    <col min="13" max="13" width="17.44140625" bestFit="1" customWidth="1"/>
    <col min="14" max="14" width="16.21875" bestFit="1" customWidth="1"/>
    <col min="15" max="15" width="1.6640625" customWidth="1"/>
    <col min="16" max="16" width="19.5546875" bestFit="1" customWidth="1"/>
    <col min="17" max="17" width="31" bestFit="1" customWidth="1"/>
    <col min="18" max="18" width="12.88671875" bestFit="1" customWidth="1"/>
    <col min="19" max="19" width="1.88671875" style="3" bestFit="1" customWidth="1"/>
    <col min="20" max="20" width="16.6640625" style="1" bestFit="1" customWidth="1"/>
    <col min="21" max="16384" width="9.109375" style="1"/>
  </cols>
  <sheetData>
    <row r="1" spans="1:20" ht="15" thickBot="1" x14ac:dyDescent="0.35">
      <c r="A1" s="8" t="s">
        <v>0</v>
      </c>
      <c r="B1" s="8"/>
      <c r="C1" s="9"/>
      <c r="D1" s="9"/>
      <c r="E1" s="9"/>
      <c r="F1" s="9" t="s">
        <v>1</v>
      </c>
      <c r="G1" s="10">
        <v>46204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 t="s">
        <v>0</v>
      </c>
      <c r="T1" s="4">
        <v>2024</v>
      </c>
    </row>
    <row r="2" spans="1:20" ht="16.2" thickBot="1" x14ac:dyDescent="0.35">
      <c r="A2" s="8"/>
      <c r="B2" s="8"/>
      <c r="C2" s="9"/>
      <c r="D2" s="9"/>
      <c r="E2" s="9"/>
      <c r="F2" s="9" t="s">
        <v>2</v>
      </c>
      <c r="G2" s="11">
        <v>46234</v>
      </c>
      <c r="H2" s="12"/>
      <c r="I2" s="177" t="s">
        <v>3</v>
      </c>
      <c r="J2" s="178"/>
      <c r="K2" s="178"/>
      <c r="L2" s="178"/>
      <c r="M2" s="178"/>
      <c r="N2" s="179"/>
      <c r="O2" s="8"/>
      <c r="P2" s="180" t="s">
        <v>4</v>
      </c>
      <c r="Q2" s="181"/>
      <c r="R2" s="182"/>
      <c r="S2" s="14"/>
      <c r="T2" s="5" t="s">
        <v>5</v>
      </c>
    </row>
    <row r="3" spans="1:20" ht="16.2" customHeight="1" x14ac:dyDescent="0.3">
      <c r="A3" s="8"/>
      <c r="B3" s="8"/>
      <c r="C3" s="183" t="s">
        <v>6</v>
      </c>
      <c r="D3" s="184"/>
      <c r="E3" s="185"/>
      <c r="F3" s="186">
        <v>23</v>
      </c>
      <c r="G3" s="187"/>
      <c r="H3" s="12"/>
      <c r="I3" s="188" t="s">
        <v>7</v>
      </c>
      <c r="J3" s="189"/>
      <c r="K3" s="189"/>
      <c r="L3" s="190"/>
      <c r="M3" s="139">
        <v>242782.60869565216</v>
      </c>
      <c r="N3" s="15" t="s">
        <v>8</v>
      </c>
      <c r="O3" s="8"/>
      <c r="P3" s="103" t="s">
        <v>9</v>
      </c>
      <c r="Q3" s="140">
        <v>2377994.1997416667</v>
      </c>
      <c r="R3" s="15" t="s">
        <v>8</v>
      </c>
      <c r="S3" s="14"/>
      <c r="T3" s="6" t="s">
        <v>10</v>
      </c>
    </row>
    <row r="4" spans="1:20" ht="16.2" thickBot="1" x14ac:dyDescent="0.35">
      <c r="A4" s="8"/>
      <c r="B4" s="8"/>
      <c r="C4" s="191" t="s">
        <v>11</v>
      </c>
      <c r="D4" s="192"/>
      <c r="E4" s="193"/>
      <c r="F4" s="194">
        <v>25</v>
      </c>
      <c r="G4" s="195"/>
      <c r="H4" s="12"/>
      <c r="I4" s="196" t="s">
        <v>12</v>
      </c>
      <c r="J4" s="197"/>
      <c r="K4" s="197"/>
      <c r="L4" s="198"/>
      <c r="M4" s="141">
        <v>167787.99</v>
      </c>
      <c r="N4" s="16">
        <v>0.6911038270057307</v>
      </c>
      <c r="O4" s="8"/>
      <c r="P4" s="104" t="s">
        <v>13</v>
      </c>
      <c r="Q4" s="142">
        <v>2374902.0299999975</v>
      </c>
      <c r="R4" s="27">
        <v>0.99869967313544961</v>
      </c>
      <c r="S4" s="14"/>
      <c r="T4" s="6" t="s">
        <v>14</v>
      </c>
    </row>
    <row r="5" spans="1:20" ht="16.2" thickBot="1" x14ac:dyDescent="0.35">
      <c r="A5" s="8"/>
      <c r="B5" s="8"/>
      <c r="C5" s="199" t="s">
        <v>15</v>
      </c>
      <c r="D5" s="199"/>
      <c r="E5" s="199">
        <v>46239.356393055554</v>
      </c>
      <c r="F5" s="199"/>
      <c r="G5" s="130">
        <v>46239</v>
      </c>
      <c r="H5" s="12"/>
      <c r="I5" s="200" t="s">
        <v>16</v>
      </c>
      <c r="J5" s="201"/>
      <c r="K5" s="201"/>
      <c r="L5" s="202"/>
      <c r="M5" s="143">
        <v>-694650.125</v>
      </c>
      <c r="N5" s="17">
        <v>-2.8612021624283668</v>
      </c>
      <c r="O5" s="8"/>
      <c r="P5" s="8"/>
      <c r="Q5" s="18"/>
      <c r="R5" s="14"/>
      <c r="S5" s="14"/>
      <c r="T5" s="7" t="s">
        <v>17</v>
      </c>
    </row>
    <row r="6" spans="1:20" ht="18.600000000000001" thickBot="1" x14ac:dyDescent="0.35">
      <c r="A6" s="8"/>
      <c r="B6" s="8"/>
      <c r="C6" s="203" t="s">
        <v>18</v>
      </c>
      <c r="D6" s="204"/>
      <c r="E6" s="205" t="s">
        <v>133</v>
      </c>
      <c r="F6" s="206"/>
      <c r="G6" s="207"/>
      <c r="H6" s="8"/>
      <c r="I6" s="8"/>
      <c r="J6" s="8"/>
      <c r="K6" s="8"/>
      <c r="L6" s="8"/>
      <c r="M6" s="8"/>
      <c r="N6" s="8"/>
      <c r="O6" s="8"/>
      <c r="P6" s="8"/>
      <c r="Q6" s="13" t="s">
        <v>19</v>
      </c>
      <c r="R6" s="19">
        <v>0</v>
      </c>
      <c r="S6" s="125"/>
      <c r="T6" s="6" t="s">
        <v>20</v>
      </c>
    </row>
    <row r="7" spans="1:20" ht="32.25" customHeight="1" thickBot="1" x14ac:dyDescent="0.35">
      <c r="A7" s="8"/>
      <c r="B7" s="8"/>
      <c r="C7" s="175" t="s">
        <v>21</v>
      </c>
      <c r="D7" s="176"/>
      <c r="E7" s="20" t="s">
        <v>22</v>
      </c>
      <c r="F7" s="20" t="s">
        <v>23</v>
      </c>
      <c r="G7" s="20" t="s">
        <v>24</v>
      </c>
      <c r="H7" s="8"/>
      <c r="I7" s="177" t="s">
        <v>25</v>
      </c>
      <c r="J7" s="178"/>
      <c r="K7" s="178"/>
      <c r="L7" s="178"/>
      <c r="M7" s="178"/>
      <c r="N7" s="179"/>
      <c r="O7" s="8"/>
      <c r="P7" s="177" t="s">
        <v>26</v>
      </c>
      <c r="Q7" s="178"/>
      <c r="R7" s="179"/>
      <c r="S7" s="8"/>
      <c r="T7" s="6" t="s">
        <v>27</v>
      </c>
    </row>
    <row r="8" spans="1:20" x14ac:dyDescent="0.3">
      <c r="A8" s="8"/>
      <c r="B8" s="8"/>
      <c r="C8" s="21">
        <v>46204</v>
      </c>
      <c r="D8" s="22" t="s">
        <v>40</v>
      </c>
      <c r="E8" s="164">
        <v>4859.74</v>
      </c>
      <c r="F8" s="164">
        <v>0</v>
      </c>
      <c r="G8" s="169">
        <v>0</v>
      </c>
      <c r="H8" s="8"/>
      <c r="I8" s="210" t="s">
        <v>9</v>
      </c>
      <c r="J8" s="211"/>
      <c r="K8" s="211"/>
      <c r="L8" s="212"/>
      <c r="M8" s="144">
        <v>5584000</v>
      </c>
      <c r="N8" s="15" t="s">
        <v>8</v>
      </c>
      <c r="O8" s="8"/>
      <c r="P8" s="105" t="s">
        <v>9</v>
      </c>
      <c r="Q8" s="140">
        <v>950000</v>
      </c>
      <c r="R8" s="15" t="s">
        <v>8</v>
      </c>
      <c r="S8" s="145"/>
      <c r="T8" s="6" t="s">
        <v>29</v>
      </c>
    </row>
    <row r="9" spans="1:20" x14ac:dyDescent="0.3">
      <c r="A9" s="8"/>
      <c r="B9" s="8"/>
      <c r="C9" s="23">
        <v>46205</v>
      </c>
      <c r="D9" s="24" t="s">
        <v>43</v>
      </c>
      <c r="E9" s="165">
        <v>9719.48</v>
      </c>
      <c r="F9" s="165">
        <v>0</v>
      </c>
      <c r="G9" s="131">
        <v>0</v>
      </c>
      <c r="H9" s="8"/>
      <c r="I9" s="213" t="s">
        <v>13</v>
      </c>
      <c r="J9" s="214"/>
      <c r="K9" s="214"/>
      <c r="L9" s="209"/>
      <c r="M9" s="146">
        <v>4600515.0299999993</v>
      </c>
      <c r="N9" s="25">
        <v>0.82387446812320908</v>
      </c>
      <c r="O9" s="8"/>
      <c r="P9" s="106" t="s">
        <v>13</v>
      </c>
      <c r="Q9" s="147">
        <v>1095922.389999999</v>
      </c>
      <c r="R9" s="25">
        <v>1.1536025157894727</v>
      </c>
      <c r="S9" s="26"/>
      <c r="T9" s="6" t="s">
        <v>31</v>
      </c>
    </row>
    <row r="10" spans="1:20" ht="15" customHeight="1" x14ac:dyDescent="0.3">
      <c r="A10" s="8"/>
      <c r="B10" s="8"/>
      <c r="C10" s="23">
        <v>46206</v>
      </c>
      <c r="D10" s="24" t="s">
        <v>28</v>
      </c>
      <c r="E10" s="165">
        <v>30406.01</v>
      </c>
      <c r="F10" s="165">
        <v>0</v>
      </c>
      <c r="G10" s="131">
        <v>0</v>
      </c>
      <c r="H10" s="8"/>
      <c r="I10" s="213" t="s">
        <v>33</v>
      </c>
      <c r="J10" s="214"/>
      <c r="K10" s="214"/>
      <c r="L10" s="209"/>
      <c r="M10" s="146">
        <v>4232473.8275999995</v>
      </c>
      <c r="N10" s="25">
        <v>0.75796451067335235</v>
      </c>
      <c r="O10" s="8"/>
      <c r="P10" s="106" t="s">
        <v>33</v>
      </c>
      <c r="Q10" s="147">
        <v>1008248.5987999991</v>
      </c>
      <c r="R10" s="25">
        <v>1.0613143145263149</v>
      </c>
      <c r="S10" s="26"/>
      <c r="T10" s="6"/>
    </row>
    <row r="11" spans="1:20" ht="15" customHeight="1" x14ac:dyDescent="0.3">
      <c r="A11" s="8"/>
      <c r="B11" s="8"/>
      <c r="C11" s="23">
        <v>46207</v>
      </c>
      <c r="D11" s="24" t="s">
        <v>30</v>
      </c>
      <c r="E11" s="165">
        <v>0</v>
      </c>
      <c r="F11" s="165">
        <v>0</v>
      </c>
      <c r="G11" s="131">
        <v>0</v>
      </c>
      <c r="H11" s="8"/>
      <c r="I11" s="213" t="s">
        <v>35</v>
      </c>
      <c r="J11" s="214"/>
      <c r="K11" s="214"/>
      <c r="L11" s="209"/>
      <c r="M11" s="146">
        <v>4194699.75</v>
      </c>
      <c r="N11" s="25">
        <v>0.75119981196275076</v>
      </c>
      <c r="O11" s="8"/>
      <c r="P11" s="106" t="s">
        <v>35</v>
      </c>
      <c r="Q11" s="148">
        <v>1096100.949999999</v>
      </c>
      <c r="R11" s="25">
        <v>1.1537904736842095</v>
      </c>
      <c r="S11" s="8"/>
      <c r="T11" s="6" t="s">
        <v>36</v>
      </c>
    </row>
    <row r="12" spans="1:20" ht="15" thickBot="1" x14ac:dyDescent="0.35">
      <c r="A12" s="8"/>
      <c r="B12" s="8"/>
      <c r="C12" s="23">
        <v>46208</v>
      </c>
      <c r="D12" s="24" t="s">
        <v>32</v>
      </c>
      <c r="E12" s="165">
        <v>0</v>
      </c>
      <c r="F12" s="165">
        <v>0</v>
      </c>
      <c r="G12" s="131">
        <v>0</v>
      </c>
      <c r="H12" s="8"/>
      <c r="I12" s="215" t="s">
        <v>38</v>
      </c>
      <c r="J12" s="216"/>
      <c r="K12" s="216"/>
      <c r="L12" s="217"/>
      <c r="M12" s="149">
        <v>3859123.7699999996</v>
      </c>
      <c r="N12" s="27">
        <v>0.69110382700573059</v>
      </c>
      <c r="O12" s="8"/>
      <c r="P12" s="107" t="s">
        <v>38</v>
      </c>
      <c r="Q12" s="150">
        <v>1008412.8739999991</v>
      </c>
      <c r="R12" s="27">
        <v>1.0614872357894727</v>
      </c>
      <c r="S12" s="8"/>
      <c r="T12" s="6" t="s">
        <v>39</v>
      </c>
    </row>
    <row r="13" spans="1:20" ht="15" thickBot="1" x14ac:dyDescent="0.35">
      <c r="A13" s="8"/>
      <c r="B13" s="8"/>
      <c r="C13" s="23">
        <v>46209</v>
      </c>
      <c r="D13" s="24" t="s">
        <v>34</v>
      </c>
      <c r="E13" s="165">
        <v>30196.09</v>
      </c>
      <c r="F13" s="165">
        <v>-6906.56</v>
      </c>
      <c r="G13" s="131">
        <v>0</v>
      </c>
      <c r="H13" s="8"/>
      <c r="I13" s="8"/>
      <c r="J13" s="8"/>
      <c r="K13" s="8"/>
      <c r="L13" s="8"/>
      <c r="M13" s="8"/>
      <c r="N13" s="8"/>
      <c r="O13" s="8"/>
      <c r="P13" s="8"/>
      <c r="Q13" s="101" t="s">
        <v>41</v>
      </c>
      <c r="R13" s="126">
        <v>281301.8</v>
      </c>
      <c r="S13" s="28"/>
      <c r="T13" s="6" t="s">
        <v>42</v>
      </c>
    </row>
    <row r="14" spans="1:20" ht="16.2" thickBot="1" x14ac:dyDescent="0.35">
      <c r="A14" s="8"/>
      <c r="B14" s="8"/>
      <c r="C14" s="23">
        <v>46210</v>
      </c>
      <c r="D14" s="24" t="s">
        <v>37</v>
      </c>
      <c r="E14" s="165">
        <v>35516.879999999997</v>
      </c>
      <c r="F14" s="165">
        <v>-2449.8200000000002</v>
      </c>
      <c r="G14" s="131">
        <v>0</v>
      </c>
      <c r="H14" s="8"/>
      <c r="I14" s="8"/>
      <c r="J14" s="8"/>
      <c r="K14" s="8"/>
      <c r="L14" s="29"/>
      <c r="M14" s="8"/>
      <c r="N14" s="30" t="s">
        <v>44</v>
      </c>
      <c r="O14" s="8"/>
      <c r="P14" s="177" t="s">
        <v>45</v>
      </c>
      <c r="Q14" s="178"/>
      <c r="R14" s="179"/>
      <c r="S14" s="28"/>
      <c r="T14" s="6" t="s">
        <v>46</v>
      </c>
    </row>
    <row r="15" spans="1:20" x14ac:dyDescent="0.3">
      <c r="A15" s="8"/>
      <c r="B15" s="8"/>
      <c r="C15" s="23">
        <v>46211</v>
      </c>
      <c r="D15" s="24" t="s">
        <v>40</v>
      </c>
      <c r="E15" s="165">
        <v>237315.79</v>
      </c>
      <c r="F15" s="165">
        <v>14456.22</v>
      </c>
      <c r="G15" s="131">
        <v>13</v>
      </c>
      <c r="H15" s="8"/>
      <c r="I15" s="218" t="s">
        <v>134</v>
      </c>
      <c r="J15" s="219"/>
      <c r="K15" s="219"/>
      <c r="L15" s="220"/>
      <c r="M15" s="151">
        <v>4076100.0499999966</v>
      </c>
      <c r="N15" s="31">
        <v>3.8363576870494853E-2</v>
      </c>
      <c r="O15" s="8"/>
      <c r="P15" s="105" t="s">
        <v>9</v>
      </c>
      <c r="Q15" s="140">
        <v>566915.44833333336</v>
      </c>
      <c r="R15" s="15" t="s">
        <v>8</v>
      </c>
      <c r="S15" s="32"/>
      <c r="T15" s="6" t="s">
        <v>47</v>
      </c>
    </row>
    <row r="16" spans="1:20" ht="15" thickBot="1" x14ac:dyDescent="0.35">
      <c r="A16" s="8"/>
      <c r="B16" s="8"/>
      <c r="C16" s="23">
        <v>46212</v>
      </c>
      <c r="D16" s="24" t="s">
        <v>43</v>
      </c>
      <c r="E16" s="165">
        <v>158990.32999999999</v>
      </c>
      <c r="F16" s="165">
        <v>131.99</v>
      </c>
      <c r="G16" s="131">
        <v>1</v>
      </c>
      <c r="H16" s="8"/>
      <c r="I16" s="221" t="s">
        <v>48</v>
      </c>
      <c r="J16" s="222"/>
      <c r="K16" s="222"/>
      <c r="L16" s="223"/>
      <c r="M16" s="152">
        <v>3876232.7999999933</v>
      </c>
      <c r="N16" s="33">
        <v>9.1903929918762062E-2</v>
      </c>
      <c r="O16" s="8"/>
      <c r="P16" s="106" t="s">
        <v>13</v>
      </c>
      <c r="Q16" s="147">
        <v>579604.12000000081</v>
      </c>
      <c r="R16" s="25">
        <v>1.0223819472621019</v>
      </c>
      <c r="S16" s="32"/>
      <c r="T16" s="6" t="s">
        <v>49</v>
      </c>
    </row>
    <row r="17" spans="1:20" ht="15" thickBot="1" x14ac:dyDescent="0.35">
      <c r="A17" s="8"/>
      <c r="B17" s="8"/>
      <c r="C17" s="23">
        <v>46213</v>
      </c>
      <c r="D17" s="24" t="s">
        <v>28</v>
      </c>
      <c r="E17" s="165">
        <v>107168.8</v>
      </c>
      <c r="F17" s="165">
        <v>581486.9</v>
      </c>
      <c r="G17" s="131">
        <v>165</v>
      </c>
      <c r="H17" s="8"/>
      <c r="I17" s="8"/>
      <c r="J17" s="8"/>
      <c r="K17" s="8"/>
      <c r="L17" s="8"/>
      <c r="M17" s="26"/>
      <c r="N17" s="8"/>
      <c r="O17" s="8"/>
      <c r="P17" s="106" t="s">
        <v>33</v>
      </c>
      <c r="Q17" s="147">
        <v>533235.79040000075</v>
      </c>
      <c r="R17" s="25">
        <v>0.94059139148113369</v>
      </c>
      <c r="S17" s="153"/>
      <c r="T17" s="6" t="s">
        <v>50</v>
      </c>
    </row>
    <row r="18" spans="1:20" ht="16.5" customHeight="1" thickBot="1" x14ac:dyDescent="0.35">
      <c r="A18" s="8"/>
      <c r="B18" s="8"/>
      <c r="C18" s="23">
        <v>46214</v>
      </c>
      <c r="D18" s="24" t="s">
        <v>30</v>
      </c>
      <c r="E18" s="165">
        <v>0</v>
      </c>
      <c r="F18" s="165">
        <v>0</v>
      </c>
      <c r="G18" s="131">
        <v>0</v>
      </c>
      <c r="H18" s="8"/>
      <c r="I18" s="177" t="s">
        <v>51</v>
      </c>
      <c r="J18" s="178"/>
      <c r="K18" s="178"/>
      <c r="L18" s="179"/>
      <c r="M18" s="34" t="s">
        <v>52</v>
      </c>
      <c r="N18" s="34" t="s">
        <v>53</v>
      </c>
      <c r="O18" s="8"/>
      <c r="P18" s="106" t="s">
        <v>35</v>
      </c>
      <c r="Q18" s="148">
        <v>581211.16000000085</v>
      </c>
      <c r="R18" s="25">
        <v>1.0252166556912414</v>
      </c>
      <c r="S18" s="28"/>
      <c r="T18" s="6" t="s">
        <v>5</v>
      </c>
    </row>
    <row r="19" spans="1:20" ht="15" thickBot="1" x14ac:dyDescent="0.35">
      <c r="A19" s="8"/>
      <c r="B19" s="35"/>
      <c r="C19" s="23">
        <v>46215</v>
      </c>
      <c r="D19" s="24" t="s">
        <v>32</v>
      </c>
      <c r="E19" s="165">
        <v>0</v>
      </c>
      <c r="F19" s="165">
        <v>0</v>
      </c>
      <c r="G19" s="131">
        <v>0</v>
      </c>
      <c r="H19" s="8"/>
      <c r="I19" s="36"/>
      <c r="J19" s="224" t="s">
        <v>54</v>
      </c>
      <c r="K19" s="212"/>
      <c r="L19" s="141">
        <v>17186872.780000001</v>
      </c>
      <c r="M19" s="37"/>
      <c r="N19" s="38"/>
      <c r="O19" s="8"/>
      <c r="P19" s="107" t="s">
        <v>38</v>
      </c>
      <c r="Q19" s="150">
        <v>534714.26720000082</v>
      </c>
      <c r="R19" s="27">
        <v>0.94319932323594224</v>
      </c>
      <c r="S19" s="32"/>
      <c r="T19" s="2"/>
    </row>
    <row r="20" spans="1:20" ht="15" thickBot="1" x14ac:dyDescent="0.35">
      <c r="A20" s="8"/>
      <c r="B20" s="8"/>
      <c r="C20" s="23">
        <v>46216</v>
      </c>
      <c r="D20" s="24" t="s">
        <v>34</v>
      </c>
      <c r="E20" s="165">
        <v>19324.62</v>
      </c>
      <c r="F20" s="165">
        <v>-2612.02</v>
      </c>
      <c r="G20" s="131">
        <v>0</v>
      </c>
      <c r="H20" s="8"/>
      <c r="I20" s="39"/>
      <c r="J20" s="208" t="s">
        <v>55</v>
      </c>
      <c r="K20" s="209"/>
      <c r="L20" s="40">
        <v>133.01734183767314</v>
      </c>
      <c r="M20" s="41">
        <v>60</v>
      </c>
      <c r="N20" s="42">
        <v>-73.017341837673143</v>
      </c>
      <c r="O20" s="8"/>
      <c r="P20" s="8"/>
      <c r="Q20" s="129" t="s">
        <v>56</v>
      </c>
      <c r="R20" s="43">
        <v>11339.579999999996</v>
      </c>
      <c r="S20" s="28"/>
      <c r="T20" s="2"/>
    </row>
    <row r="21" spans="1:20" ht="15.75" customHeight="1" thickBot="1" x14ac:dyDescent="0.35">
      <c r="A21" s="8"/>
      <c r="B21" s="8"/>
      <c r="C21" s="23">
        <v>46217</v>
      </c>
      <c r="D21" s="24" t="s">
        <v>37</v>
      </c>
      <c r="E21" s="165">
        <v>58922.38</v>
      </c>
      <c r="F21" s="165">
        <v>-7193.52</v>
      </c>
      <c r="G21" s="131">
        <v>0</v>
      </c>
      <c r="H21" s="8"/>
      <c r="I21" s="44" t="s">
        <v>57</v>
      </c>
      <c r="J21" s="208" t="s">
        <v>58</v>
      </c>
      <c r="K21" s="209"/>
      <c r="L21" s="141">
        <v>4420934.0497637335</v>
      </c>
      <c r="M21" s="45"/>
      <c r="N21" s="46"/>
      <c r="O21" s="8"/>
      <c r="P21" s="177" t="s">
        <v>59</v>
      </c>
      <c r="Q21" s="178"/>
      <c r="R21" s="179"/>
      <c r="S21" s="28"/>
      <c r="T21" s="2"/>
    </row>
    <row r="22" spans="1:20" ht="15" customHeight="1" x14ac:dyDescent="0.3">
      <c r="A22" s="8"/>
      <c r="B22" s="8"/>
      <c r="C22" s="23">
        <v>46218</v>
      </c>
      <c r="D22" s="24" t="s">
        <v>40</v>
      </c>
      <c r="E22" s="165">
        <v>146759.19</v>
      </c>
      <c r="F22" s="165">
        <v>1949.25</v>
      </c>
      <c r="G22" s="131">
        <v>1</v>
      </c>
      <c r="H22" s="8"/>
      <c r="I22" s="47"/>
      <c r="J22" s="208" t="s">
        <v>60</v>
      </c>
      <c r="K22" s="209"/>
      <c r="L22" s="141">
        <v>21607806.829763733</v>
      </c>
      <c r="M22" s="48"/>
      <c r="N22" s="46"/>
      <c r="O22" s="8"/>
      <c r="P22" s="105" t="s">
        <v>9</v>
      </c>
      <c r="Q22" s="140">
        <v>406248.88675833336</v>
      </c>
      <c r="R22" s="15" t="s">
        <v>8</v>
      </c>
      <c r="S22" s="28"/>
      <c r="T22" s="2"/>
    </row>
    <row r="23" spans="1:20" ht="15.75" customHeight="1" thickBot="1" x14ac:dyDescent="0.35">
      <c r="A23" s="8"/>
      <c r="B23" s="8"/>
      <c r="C23" s="23">
        <v>46219</v>
      </c>
      <c r="D23" s="24" t="s">
        <v>43</v>
      </c>
      <c r="E23" s="165">
        <v>129357.71</v>
      </c>
      <c r="F23" s="165">
        <v>-24793.5</v>
      </c>
      <c r="G23" s="131">
        <v>1</v>
      </c>
      <c r="H23" s="8"/>
      <c r="I23" s="49"/>
      <c r="J23" s="225" t="s">
        <v>61</v>
      </c>
      <c r="K23" s="217"/>
      <c r="L23" s="50">
        <v>167.23304258013428</v>
      </c>
      <c r="M23" s="51"/>
      <c r="N23" s="52"/>
      <c r="O23" s="8"/>
      <c r="P23" s="106" t="s">
        <v>13</v>
      </c>
      <c r="Q23" s="147">
        <v>328342.08999999764</v>
      </c>
      <c r="R23" s="25">
        <v>0.80822889785620411</v>
      </c>
      <c r="S23" s="28"/>
      <c r="T23" s="2"/>
    </row>
    <row r="24" spans="1:20" ht="15.75" customHeight="1" thickBot="1" x14ac:dyDescent="0.35">
      <c r="A24" s="8"/>
      <c r="B24" s="8"/>
      <c r="C24" s="23">
        <v>46220</v>
      </c>
      <c r="D24" s="24" t="s">
        <v>28</v>
      </c>
      <c r="E24" s="166">
        <v>231736.66</v>
      </c>
      <c r="F24" s="166">
        <v>34929.440000000002</v>
      </c>
      <c r="G24" s="131">
        <v>0</v>
      </c>
      <c r="H24" s="8"/>
      <c r="I24" s="53"/>
      <c r="J24" s="53"/>
      <c r="K24" s="53"/>
      <c r="L24" s="102">
        <v>0.31530488350704999</v>
      </c>
      <c r="M24" s="8"/>
      <c r="N24" s="54"/>
      <c r="O24" s="8"/>
      <c r="P24" s="106" t="s">
        <v>33</v>
      </c>
      <c r="Q24" s="147">
        <v>302074.72279999783</v>
      </c>
      <c r="R24" s="25">
        <v>0.74357058602770776</v>
      </c>
      <c r="S24" s="28"/>
      <c r="T24" s="2"/>
    </row>
    <row r="25" spans="1:20" ht="16.5" customHeight="1" thickBot="1" x14ac:dyDescent="0.35">
      <c r="A25" s="8"/>
      <c r="B25" s="8"/>
      <c r="C25" s="23">
        <v>46221</v>
      </c>
      <c r="D25" s="24" t="s">
        <v>30</v>
      </c>
      <c r="E25" s="165">
        <v>0</v>
      </c>
      <c r="F25" s="165">
        <v>0</v>
      </c>
      <c r="G25" s="131">
        <v>0</v>
      </c>
      <c r="H25" s="8"/>
      <c r="I25" s="177" t="s">
        <v>51</v>
      </c>
      <c r="J25" s="178"/>
      <c r="K25" s="178"/>
      <c r="L25" s="179"/>
      <c r="M25" s="34" t="s">
        <v>52</v>
      </c>
      <c r="N25" s="34" t="s">
        <v>53</v>
      </c>
      <c r="O25" s="8"/>
      <c r="P25" s="106" t="s">
        <v>35</v>
      </c>
      <c r="Q25" s="148">
        <v>328342.08999999764</v>
      </c>
      <c r="R25" s="25">
        <v>0.80822889785620411</v>
      </c>
      <c r="S25" s="28"/>
      <c r="T25" s="2"/>
    </row>
    <row r="26" spans="1:20" ht="15" thickBot="1" x14ac:dyDescent="0.35">
      <c r="A26" s="8"/>
      <c r="B26" s="8"/>
      <c r="C26" s="23">
        <v>46222</v>
      </c>
      <c r="D26" s="24" t="s">
        <v>32</v>
      </c>
      <c r="E26" s="165">
        <v>0</v>
      </c>
      <c r="F26" s="165">
        <v>756255.11</v>
      </c>
      <c r="G26" s="131">
        <v>23</v>
      </c>
      <c r="H26" s="8"/>
      <c r="I26" s="36"/>
      <c r="J26" s="226" t="s">
        <v>62</v>
      </c>
      <c r="K26" s="190"/>
      <c r="L26" s="154">
        <v>12331686.470000004</v>
      </c>
      <c r="M26" s="37"/>
      <c r="N26" s="38"/>
      <c r="O26" s="8"/>
      <c r="P26" s="107" t="s">
        <v>38</v>
      </c>
      <c r="Q26" s="150">
        <v>302074.72279999783</v>
      </c>
      <c r="R26" s="27">
        <v>0.74357058602770776</v>
      </c>
      <c r="S26" s="28"/>
      <c r="T26" s="2"/>
    </row>
    <row r="27" spans="1:20" ht="15" thickBot="1" x14ac:dyDescent="0.35">
      <c r="A27" s="43"/>
      <c r="B27" s="43">
        <v>351238.54</v>
      </c>
      <c r="C27" s="23">
        <v>46223</v>
      </c>
      <c r="D27" s="24" t="s">
        <v>34</v>
      </c>
      <c r="E27" s="165">
        <v>94425.600000000006</v>
      </c>
      <c r="F27" s="165">
        <v>0</v>
      </c>
      <c r="G27" s="131">
        <v>47</v>
      </c>
      <c r="H27" s="8"/>
      <c r="I27" s="39"/>
      <c r="J27" s="227" t="s">
        <v>55</v>
      </c>
      <c r="K27" s="228"/>
      <c r="L27" s="55">
        <v>95.440757350797085</v>
      </c>
      <c r="M27" s="56">
        <v>60</v>
      </c>
      <c r="N27" s="42">
        <v>-35.440757350797085</v>
      </c>
      <c r="O27" s="8"/>
      <c r="P27" s="8"/>
      <c r="Q27" s="101" t="s">
        <v>63</v>
      </c>
      <c r="R27" s="43">
        <v>8819.3599999999988</v>
      </c>
      <c r="S27" s="28"/>
      <c r="T27" s="2"/>
    </row>
    <row r="28" spans="1:20" ht="15.75" customHeight="1" thickBot="1" x14ac:dyDescent="0.35">
      <c r="A28" s="43"/>
      <c r="B28" s="43"/>
      <c r="C28" s="23">
        <v>46224</v>
      </c>
      <c r="D28" s="24" t="s">
        <v>37</v>
      </c>
      <c r="E28" s="165">
        <v>112401.76</v>
      </c>
      <c r="F28" s="165">
        <v>0</v>
      </c>
      <c r="G28" s="131">
        <v>98</v>
      </c>
      <c r="H28" s="8"/>
      <c r="I28" s="44" t="s">
        <v>64</v>
      </c>
      <c r="J28" s="227" t="s">
        <v>58</v>
      </c>
      <c r="K28" s="228"/>
      <c r="L28" s="162">
        <v>3361147.7500000005</v>
      </c>
      <c r="M28" s="70"/>
      <c r="N28" s="46"/>
      <c r="O28" s="8"/>
      <c r="P28" s="177" t="s">
        <v>65</v>
      </c>
      <c r="Q28" s="178"/>
      <c r="R28" s="179"/>
      <c r="S28" s="28"/>
      <c r="T28" s="2"/>
    </row>
    <row r="29" spans="1:20" ht="15" customHeight="1" x14ac:dyDescent="0.3">
      <c r="A29" s="43"/>
      <c r="B29" s="43"/>
      <c r="C29" s="23">
        <v>46225</v>
      </c>
      <c r="D29" s="24" t="s">
        <v>40</v>
      </c>
      <c r="E29" s="167">
        <v>47529.17</v>
      </c>
      <c r="F29" s="167">
        <v>0</v>
      </c>
      <c r="G29" s="131">
        <v>0</v>
      </c>
      <c r="H29" s="8"/>
      <c r="I29" s="47"/>
      <c r="J29" s="229" t="s">
        <v>60</v>
      </c>
      <c r="K29" s="198"/>
      <c r="L29" s="141">
        <v>15692834.220000004</v>
      </c>
      <c r="M29" s="155"/>
      <c r="N29" s="46"/>
      <c r="O29" s="8"/>
      <c r="P29" s="105" t="s">
        <v>9</v>
      </c>
      <c r="Q29" s="140">
        <v>335377.6607000003</v>
      </c>
      <c r="R29" s="15" t="s">
        <v>8</v>
      </c>
      <c r="S29" s="28"/>
      <c r="T29" s="2"/>
    </row>
    <row r="30" spans="1:20" ht="15.75" customHeight="1" thickBot="1" x14ac:dyDescent="0.35">
      <c r="A30" s="43"/>
      <c r="B30" s="43"/>
      <c r="C30" s="23">
        <v>46226</v>
      </c>
      <c r="D30" s="24" t="s">
        <v>43</v>
      </c>
      <c r="E30" s="165">
        <v>219418.08</v>
      </c>
      <c r="F30" s="165">
        <v>-149944.95000000001</v>
      </c>
      <c r="G30" s="131">
        <v>0</v>
      </c>
      <c r="H30" s="8"/>
      <c r="I30" s="49"/>
      <c r="J30" s="230" t="s">
        <v>61</v>
      </c>
      <c r="K30" s="202"/>
      <c r="L30" s="57">
        <v>121.45427039366699</v>
      </c>
      <c r="M30" s="51"/>
      <c r="N30" s="52"/>
      <c r="O30" s="8"/>
      <c r="P30" s="106" t="s">
        <v>13</v>
      </c>
      <c r="Q30" s="147">
        <v>234458.93000000011</v>
      </c>
      <c r="R30" s="25">
        <v>0.69908928791094016</v>
      </c>
      <c r="S30" s="28"/>
      <c r="T30" s="2"/>
    </row>
    <row r="31" spans="1:20" ht="15.75" customHeight="1" thickBot="1" x14ac:dyDescent="0.35">
      <c r="A31" s="43"/>
      <c r="B31" s="43"/>
      <c r="C31" s="23">
        <v>46227</v>
      </c>
      <c r="D31" s="24" t="s">
        <v>28</v>
      </c>
      <c r="E31" s="165">
        <v>258059.66</v>
      </c>
      <c r="F31" s="165">
        <v>0</v>
      </c>
      <c r="G31" s="131">
        <v>0</v>
      </c>
      <c r="H31" s="8"/>
      <c r="I31" s="8"/>
      <c r="J31" s="8"/>
      <c r="K31" s="8"/>
      <c r="L31" s="58"/>
      <c r="M31" s="8"/>
      <c r="N31" s="8"/>
      <c r="O31" s="8"/>
      <c r="P31" s="106" t="s">
        <v>33</v>
      </c>
      <c r="Q31" s="147">
        <v>215702.21560000008</v>
      </c>
      <c r="R31" s="25">
        <v>0.64316214487806489</v>
      </c>
      <c r="S31" s="8"/>
      <c r="T31" s="2"/>
    </row>
    <row r="32" spans="1:20" ht="16.5" customHeight="1" thickBot="1" x14ac:dyDescent="0.35">
      <c r="A32" s="43"/>
      <c r="B32" s="43"/>
      <c r="C32" s="23">
        <v>46228</v>
      </c>
      <c r="D32" s="24" t="s">
        <v>30</v>
      </c>
      <c r="E32" s="165"/>
      <c r="F32" s="165">
        <v>0</v>
      </c>
      <c r="G32" s="131"/>
      <c r="H32" s="8"/>
      <c r="I32" s="177" t="s">
        <v>24</v>
      </c>
      <c r="J32" s="178"/>
      <c r="K32" s="178"/>
      <c r="L32" s="178"/>
      <c r="M32" s="178"/>
      <c r="N32" s="179"/>
      <c r="O32" s="8"/>
      <c r="P32" s="106" t="s">
        <v>35</v>
      </c>
      <c r="Q32" s="148">
        <v>235173.1700000001</v>
      </c>
      <c r="R32" s="25">
        <v>0.70121894675139251</v>
      </c>
      <c r="S32" s="8"/>
      <c r="T32" s="2"/>
    </row>
    <row r="33" spans="1:20" ht="15" thickBot="1" x14ac:dyDescent="0.35">
      <c r="A33" s="43"/>
      <c r="B33" s="43"/>
      <c r="C33" s="23">
        <v>46229</v>
      </c>
      <c r="D33" s="24" t="s">
        <v>32</v>
      </c>
      <c r="E33" s="165"/>
      <c r="F33" s="165">
        <v>0</v>
      </c>
      <c r="G33" s="131"/>
      <c r="H33" s="8"/>
      <c r="I33" s="231" t="s">
        <v>9</v>
      </c>
      <c r="J33" s="232"/>
      <c r="K33" s="233"/>
      <c r="L33" s="59">
        <v>1000</v>
      </c>
      <c r="M33" s="234" t="s">
        <v>8</v>
      </c>
      <c r="N33" s="235"/>
      <c r="O33" s="8"/>
      <c r="P33" s="107" t="s">
        <v>38</v>
      </c>
      <c r="Q33" s="150">
        <v>216359.3164000001</v>
      </c>
      <c r="R33" s="27">
        <v>0.64512143101128117</v>
      </c>
      <c r="S33" s="8"/>
      <c r="T33" s="2"/>
    </row>
    <row r="34" spans="1:20" ht="15" thickBot="1" x14ac:dyDescent="0.35">
      <c r="A34" s="43"/>
      <c r="B34" s="43"/>
      <c r="C34" s="23">
        <v>46230</v>
      </c>
      <c r="D34" s="24" t="s">
        <v>34</v>
      </c>
      <c r="E34" s="165">
        <v>213743.37</v>
      </c>
      <c r="F34" s="165">
        <v>345422.44</v>
      </c>
      <c r="G34" s="131">
        <v>9</v>
      </c>
      <c r="H34" s="8"/>
      <c r="I34" s="236" t="s">
        <v>66</v>
      </c>
      <c r="J34" s="237"/>
      <c r="K34" s="238"/>
      <c r="L34" s="60">
        <v>700</v>
      </c>
      <c r="M34" s="239">
        <v>0.7</v>
      </c>
      <c r="N34" s="240"/>
      <c r="O34" s="8"/>
      <c r="P34" s="8"/>
      <c r="Q34" s="101" t="s">
        <v>67</v>
      </c>
      <c r="R34" s="43">
        <v>50573.16</v>
      </c>
      <c r="S34" s="8"/>
      <c r="T34" s="2"/>
    </row>
    <row r="35" spans="1:20" ht="15" customHeight="1" thickBot="1" x14ac:dyDescent="0.35">
      <c r="A35" s="43"/>
      <c r="B35" s="43"/>
      <c r="C35" s="23">
        <v>46231</v>
      </c>
      <c r="D35" s="24" t="s">
        <v>37</v>
      </c>
      <c r="E35" s="165">
        <v>222715.23</v>
      </c>
      <c r="F35" s="165">
        <v>0</v>
      </c>
      <c r="G35" s="131">
        <v>23</v>
      </c>
      <c r="H35" s="8"/>
      <c r="I35" s="241" t="s">
        <v>68</v>
      </c>
      <c r="J35" s="242"/>
      <c r="K35" s="243"/>
      <c r="L35" s="60">
        <v>644</v>
      </c>
      <c r="M35" s="239">
        <v>0.64400000000000002</v>
      </c>
      <c r="N35" s="240"/>
      <c r="O35" s="8"/>
      <c r="P35" s="177" t="s">
        <v>69</v>
      </c>
      <c r="Q35" s="178"/>
      <c r="R35" s="179"/>
      <c r="S35" s="8"/>
      <c r="T35" s="2"/>
    </row>
    <row r="36" spans="1:20" ht="15.75" customHeight="1" thickBot="1" x14ac:dyDescent="0.35">
      <c r="A36" s="43"/>
      <c r="B36" s="43"/>
      <c r="C36" s="23">
        <v>46232</v>
      </c>
      <c r="D36" s="24" t="s">
        <v>40</v>
      </c>
      <c r="E36" s="165">
        <v>37498.86</v>
      </c>
      <c r="F36" s="165">
        <v>162894.99</v>
      </c>
      <c r="G36" s="131">
        <v>13</v>
      </c>
      <c r="H36" s="8"/>
      <c r="I36" s="244" t="s">
        <v>70</v>
      </c>
      <c r="J36" s="245"/>
      <c r="K36" s="246"/>
      <c r="L36" s="61">
        <v>667.66666666666663</v>
      </c>
      <c r="M36" s="247">
        <v>0.66766666666666663</v>
      </c>
      <c r="N36" s="248"/>
      <c r="O36" s="8"/>
      <c r="P36" s="105" t="s">
        <v>9</v>
      </c>
      <c r="Q36" s="140">
        <v>119452.20395000004</v>
      </c>
      <c r="R36" s="15" t="s">
        <v>8</v>
      </c>
      <c r="S36" s="8"/>
      <c r="T36" s="2"/>
    </row>
    <row r="37" spans="1:20" ht="15" thickBot="1" x14ac:dyDescent="0.35">
      <c r="A37" s="43"/>
      <c r="B37" s="43"/>
      <c r="C37" s="23">
        <v>46233</v>
      </c>
      <c r="D37" s="24" t="s">
        <v>43</v>
      </c>
      <c r="E37" s="165">
        <v>631285.27</v>
      </c>
      <c r="F37" s="165">
        <v>1984603.52</v>
      </c>
      <c r="G37" s="131">
        <v>22</v>
      </c>
      <c r="H37" s="8"/>
      <c r="I37" s="53"/>
      <c r="J37" s="53"/>
      <c r="K37" s="53"/>
      <c r="L37" s="53"/>
      <c r="M37" s="62"/>
      <c r="N37" s="62"/>
      <c r="O37" s="8"/>
      <c r="P37" s="106" t="s">
        <v>13</v>
      </c>
      <c r="Q37" s="147">
        <v>136574.4999999998</v>
      </c>
      <c r="R37" s="25">
        <v>1.1433401434532489</v>
      </c>
      <c r="S37" s="8"/>
      <c r="T37" s="2"/>
    </row>
    <row r="38" spans="1:20" ht="15.75" customHeight="1" thickBot="1" x14ac:dyDescent="0.35">
      <c r="A38" s="43"/>
      <c r="B38" s="43"/>
      <c r="C38" s="63">
        <v>46234</v>
      </c>
      <c r="D38" s="64" t="s">
        <v>28</v>
      </c>
      <c r="E38" s="168">
        <v>1157349.07</v>
      </c>
      <c r="F38" s="168">
        <v>912285.54</v>
      </c>
      <c r="G38" s="131">
        <v>284</v>
      </c>
      <c r="H38" s="8"/>
      <c r="I38" s="67"/>
      <c r="J38" s="68" t="s">
        <v>71</v>
      </c>
      <c r="K38" s="68" t="s">
        <v>72</v>
      </c>
      <c r="L38" s="68" t="s">
        <v>73</v>
      </c>
      <c r="M38" s="68" t="s">
        <v>74</v>
      </c>
      <c r="N38" s="68" t="s">
        <v>75</v>
      </c>
      <c r="O38" s="8"/>
      <c r="P38" s="106" t="s">
        <v>33</v>
      </c>
      <c r="Q38" s="147">
        <v>125648.53999999982</v>
      </c>
      <c r="R38" s="25">
        <v>1.0518729319769891</v>
      </c>
      <c r="S38" s="8"/>
      <c r="T38" s="2"/>
    </row>
    <row r="39" spans="1:20" ht="15" thickBot="1" x14ac:dyDescent="0.35">
      <c r="A39" s="43"/>
      <c r="B39" s="43"/>
      <c r="C39" s="249" t="s">
        <v>76</v>
      </c>
      <c r="D39" s="250"/>
      <c r="E39" s="65">
        <v>4194699.75</v>
      </c>
      <c r="F39" s="65">
        <v>4600515.0299999993</v>
      </c>
      <c r="G39" s="66">
        <v>700</v>
      </c>
      <c r="H39" s="8"/>
      <c r="I39" s="73" t="s">
        <v>52</v>
      </c>
      <c r="J39" s="74">
        <v>2931600</v>
      </c>
      <c r="K39" s="74">
        <v>530480</v>
      </c>
      <c r="L39" s="74">
        <v>1116800</v>
      </c>
      <c r="M39" s="74">
        <v>530480</v>
      </c>
      <c r="N39" s="74">
        <v>474640.00000000006</v>
      </c>
      <c r="O39" s="8"/>
      <c r="P39" s="106" t="s">
        <v>35</v>
      </c>
      <c r="Q39" s="148">
        <v>179452.4699999998</v>
      </c>
      <c r="R39" s="25">
        <v>1.502295178037188</v>
      </c>
      <c r="S39" s="8"/>
      <c r="T39" s="2"/>
    </row>
    <row r="40" spans="1:20" ht="15" thickBot="1" x14ac:dyDescent="0.35">
      <c r="A40" s="43"/>
      <c r="B40" s="43"/>
      <c r="C40" s="69"/>
      <c r="D40" s="70" t="s">
        <v>77</v>
      </c>
      <c r="E40" s="71"/>
      <c r="F40" s="156">
        <v>4600515</v>
      </c>
      <c r="G40" s="72">
        <v>700</v>
      </c>
      <c r="H40" s="8"/>
      <c r="I40" s="77" t="s">
        <v>78</v>
      </c>
      <c r="J40" s="157">
        <v>2467978.4799999967</v>
      </c>
      <c r="K40" s="158">
        <v>435191.41999999987</v>
      </c>
      <c r="L40" s="157">
        <v>585256.96999999927</v>
      </c>
      <c r="M40" s="158">
        <v>392583.68000000087</v>
      </c>
      <c r="N40" s="157">
        <v>382007.55000000005</v>
      </c>
      <c r="O40" s="8"/>
      <c r="P40" s="107" t="s">
        <v>38</v>
      </c>
      <c r="Q40" s="150">
        <v>165096.27239999981</v>
      </c>
      <c r="R40" s="27">
        <v>1.382111563794213</v>
      </c>
      <c r="S40" s="8"/>
      <c r="T40" s="2"/>
    </row>
    <row r="41" spans="1:20" ht="15" thickBot="1" x14ac:dyDescent="0.35">
      <c r="A41" s="43"/>
      <c r="B41" s="43"/>
      <c r="C41" s="251" t="s">
        <v>79</v>
      </c>
      <c r="D41" s="252"/>
      <c r="E41" s="75">
        <v>-405815.27999999933</v>
      </c>
      <c r="F41" s="75">
        <v>-2.9999999329447746E-2</v>
      </c>
      <c r="G41" s="76">
        <v>0</v>
      </c>
      <c r="H41" s="8"/>
      <c r="I41" s="82" t="s">
        <v>80</v>
      </c>
      <c r="J41" s="83">
        <v>0.84185375903943127</v>
      </c>
      <c r="K41" s="84">
        <v>0.82037290755542125</v>
      </c>
      <c r="L41" s="83">
        <v>0.52404814648997067</v>
      </c>
      <c r="M41" s="84">
        <v>0.74005368722666431</v>
      </c>
      <c r="N41" s="83">
        <v>0.80483640232597342</v>
      </c>
      <c r="O41" s="8"/>
      <c r="P41" s="8"/>
      <c r="Q41" s="8"/>
      <c r="R41" s="8"/>
      <c r="S41" s="8"/>
      <c r="T41" s="2"/>
    </row>
    <row r="42" spans="1:20" ht="15" thickBot="1" x14ac:dyDescent="0.35">
      <c r="A42" s="43"/>
      <c r="B42" s="43"/>
      <c r="C42" s="78" t="s">
        <v>81</v>
      </c>
      <c r="D42" s="43" t="s">
        <v>82</v>
      </c>
      <c r="E42" s="79"/>
      <c r="F42" s="80"/>
      <c r="G42" s="81"/>
      <c r="H42" s="8"/>
      <c r="I42" s="87" t="s">
        <v>83</v>
      </c>
      <c r="J42" s="159">
        <v>2270540.201599997</v>
      </c>
      <c r="K42" s="160">
        <v>400376.10639999987</v>
      </c>
      <c r="L42" s="159">
        <v>538436.41239999933</v>
      </c>
      <c r="M42" s="160">
        <v>361176.98560000077</v>
      </c>
      <c r="N42" s="159">
        <v>351446.94600000005</v>
      </c>
      <c r="O42" s="8"/>
      <c r="P42" s="8"/>
      <c r="Q42" s="8"/>
      <c r="R42" s="8"/>
      <c r="S42" s="8"/>
      <c r="T42" s="2"/>
    </row>
    <row r="43" spans="1:20" x14ac:dyDescent="0.3">
      <c r="A43" s="8"/>
      <c r="B43" s="8"/>
      <c r="C43" s="85"/>
      <c r="D43" s="127"/>
      <c r="E43" s="86"/>
      <c r="F43" s="80"/>
      <c r="G43" s="81"/>
      <c r="H43" s="8"/>
      <c r="I43" s="70"/>
      <c r="J43" s="70"/>
      <c r="K43" s="70"/>
      <c r="L43" s="70"/>
      <c r="M43" s="70"/>
      <c r="N43" s="70"/>
      <c r="O43" s="8"/>
      <c r="P43" s="8"/>
      <c r="Q43" s="8"/>
      <c r="R43" s="8"/>
      <c r="S43" s="8"/>
      <c r="T43" s="2"/>
    </row>
    <row r="44" spans="1:20" x14ac:dyDescent="0.3">
      <c r="A44" s="8"/>
      <c r="B44" s="8"/>
      <c r="C44" s="88"/>
      <c r="D44" s="128"/>
      <c r="E44" s="86"/>
      <c r="F44" s="86"/>
      <c r="G44" s="89"/>
      <c r="H44" s="8"/>
      <c r="I44" s="90"/>
      <c r="J44" s="90"/>
      <c r="K44" s="90"/>
      <c r="L44" s="90"/>
      <c r="M44" s="90"/>
      <c r="N44" s="90"/>
      <c r="O44" s="8"/>
      <c r="P44" s="8"/>
      <c r="Q44" s="91"/>
      <c r="R44" s="8"/>
      <c r="S44" s="8"/>
      <c r="T44" s="2"/>
    </row>
    <row r="45" spans="1:20" x14ac:dyDescent="0.3">
      <c r="A45" s="8"/>
      <c r="B45" s="8"/>
      <c r="C45" s="88"/>
      <c r="D45" s="161"/>
      <c r="E45" s="86"/>
      <c r="F45" s="86"/>
      <c r="G45" s="89"/>
      <c r="H45" s="8"/>
      <c r="I45" s="8"/>
      <c r="J45" s="91"/>
      <c r="K45" s="91"/>
      <c r="L45" s="91"/>
      <c r="M45" s="91"/>
      <c r="N45" s="91"/>
      <c r="O45" s="8"/>
      <c r="P45" s="8"/>
      <c r="Q45" s="8"/>
      <c r="R45" s="8"/>
      <c r="S45" s="8"/>
      <c r="T45" s="2"/>
    </row>
    <row r="46" spans="1:20" x14ac:dyDescent="0.3">
      <c r="A46" s="8"/>
      <c r="B46" s="8"/>
      <c r="C46" s="88"/>
      <c r="D46" s="28"/>
      <c r="E46" s="86"/>
      <c r="F46" s="86"/>
      <c r="G46" s="89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2"/>
    </row>
    <row r="47" spans="1:20" x14ac:dyDescent="0.3">
      <c r="A47" s="8"/>
      <c r="B47" s="8"/>
      <c r="C47" s="8"/>
      <c r="D47" s="92"/>
      <c r="E47" s="86"/>
      <c r="F47" s="86"/>
      <c r="G47" s="93"/>
      <c r="H47" s="8"/>
      <c r="I47" s="94"/>
      <c r="J47" s="94"/>
      <c r="K47" s="94"/>
      <c r="L47" s="94"/>
      <c r="M47" s="94"/>
      <c r="N47" s="8"/>
      <c r="O47" s="8"/>
      <c r="P47" s="8"/>
      <c r="Q47" s="8"/>
      <c r="R47" s="8"/>
      <c r="S47" s="8"/>
      <c r="T47" s="2"/>
    </row>
    <row r="48" spans="1:20" x14ac:dyDescent="0.3">
      <c r="A48" s="8"/>
      <c r="B48" s="95"/>
      <c r="C48" s="96"/>
      <c r="D48" s="97"/>
      <c r="E48" s="8"/>
      <c r="F48" s="8"/>
      <c r="G48" s="93"/>
      <c r="H48" s="8"/>
      <c r="I48" s="98"/>
      <c r="J48" s="98"/>
      <c r="K48" s="94"/>
      <c r="L48" s="94"/>
      <c r="M48" s="94"/>
      <c r="N48" s="8"/>
      <c r="O48" s="8"/>
      <c r="P48" s="8"/>
      <c r="Q48" s="8"/>
      <c r="R48" s="8"/>
      <c r="S48" s="8"/>
      <c r="T48" s="2"/>
    </row>
    <row r="49" spans="1:20" x14ac:dyDescent="0.3">
      <c r="A49" s="8"/>
      <c r="B49" s="95"/>
      <c r="C49" s="8"/>
      <c r="D49" s="8"/>
      <c r="E49" s="99"/>
      <c r="F49" s="99"/>
      <c r="G49" s="93"/>
      <c r="H49" s="8"/>
      <c r="I49" s="98"/>
      <c r="J49" s="98"/>
      <c r="K49" s="94"/>
      <c r="L49" s="94"/>
      <c r="M49" s="94"/>
      <c r="N49" s="8"/>
      <c r="O49" s="8"/>
      <c r="P49" s="8"/>
      <c r="Q49" s="8"/>
      <c r="R49" s="8"/>
      <c r="S49" s="8"/>
      <c r="T49" s="2"/>
    </row>
    <row r="50" spans="1:20" x14ac:dyDescent="0.3">
      <c r="A50" s="8" t="s">
        <v>0</v>
      </c>
      <c r="B50" s="95"/>
      <c r="C50" s="8"/>
      <c r="D50" s="8"/>
      <c r="E50" s="99"/>
      <c r="F50" s="100"/>
      <c r="G50" s="93"/>
      <c r="H50" s="8"/>
      <c r="I50" s="98"/>
      <c r="J50" s="98"/>
      <c r="K50" s="94"/>
      <c r="L50" s="94"/>
      <c r="M50" s="94"/>
      <c r="N50" s="8"/>
      <c r="O50" s="8"/>
      <c r="P50" s="8"/>
      <c r="Q50" s="8"/>
      <c r="R50" s="8"/>
      <c r="S50" s="8" t="s">
        <v>0</v>
      </c>
      <c r="T50" s="2"/>
    </row>
    <row r="52" spans="1:20" x14ac:dyDescent="0.3">
      <c r="H52" t="s">
        <v>0</v>
      </c>
      <c r="I52" s="170">
        <v>1570176.929999999</v>
      </c>
      <c r="J52" s="171">
        <v>0</v>
      </c>
      <c r="N52" s="172"/>
      <c r="O52" t="s">
        <v>0</v>
      </c>
    </row>
    <row r="53" spans="1:20" x14ac:dyDescent="0.3">
      <c r="I53" s="170">
        <v>0</v>
      </c>
      <c r="J53" t="s">
        <v>71</v>
      </c>
      <c r="K53" t="s">
        <v>72</v>
      </c>
      <c r="L53" t="s">
        <v>73</v>
      </c>
      <c r="M53" t="s">
        <v>74</v>
      </c>
      <c r="N53" t="s">
        <v>75</v>
      </c>
    </row>
    <row r="54" spans="1:20" x14ac:dyDescent="0.3">
      <c r="I54" s="170">
        <v>5584000</v>
      </c>
      <c r="J54" s="170">
        <v>2931600</v>
      </c>
      <c r="K54" s="170">
        <v>530480</v>
      </c>
      <c r="L54" s="170">
        <v>1116800</v>
      </c>
      <c r="M54" s="170">
        <v>530480</v>
      </c>
      <c r="N54" s="170">
        <v>474640.00000000006</v>
      </c>
    </row>
    <row r="55" spans="1:20" x14ac:dyDescent="0.3">
      <c r="I55" t="s">
        <v>78</v>
      </c>
      <c r="J55" s="172">
        <v>952461.99999999907</v>
      </c>
      <c r="K55" s="172">
        <v>139053.35000000006</v>
      </c>
      <c r="L55" s="172">
        <v>160738.38999999978</v>
      </c>
      <c r="M55" s="172">
        <v>163984.28999999992</v>
      </c>
      <c r="N55" s="172">
        <v>153938.90000000014</v>
      </c>
    </row>
    <row r="56" spans="1:20" x14ac:dyDescent="0.3">
      <c r="I56" t="s">
        <v>80</v>
      </c>
      <c r="J56" s="171">
        <v>0.32489493791786023</v>
      </c>
      <c r="K56" s="171">
        <v>0.26212741290906361</v>
      </c>
      <c r="L56" s="171">
        <v>0.14392764147564449</v>
      </c>
      <c r="M56" s="171">
        <v>0.30912435907102986</v>
      </c>
      <c r="N56" s="171">
        <v>0.32432770099443814</v>
      </c>
    </row>
    <row r="57" spans="1:20" x14ac:dyDescent="0.3">
      <c r="I57" t="s">
        <v>83</v>
      </c>
      <c r="J57" s="172">
        <v>1043172.6666666657</v>
      </c>
      <c r="K57" s="172">
        <v>152296.52619047626</v>
      </c>
      <c r="L57" s="172">
        <v>176046.80809523785</v>
      </c>
      <c r="M57" s="172">
        <v>179601.84142857135</v>
      </c>
      <c r="N57" s="172">
        <v>168599.74761904776</v>
      </c>
    </row>
    <row r="58" spans="1:20" x14ac:dyDescent="0.3">
      <c r="I58" t="s">
        <v>136</v>
      </c>
      <c r="J58" s="172">
        <v>0</v>
      </c>
      <c r="K58" s="172">
        <v>0</v>
      </c>
      <c r="L58" s="172">
        <v>0</v>
      </c>
      <c r="M58" s="172">
        <v>0</v>
      </c>
      <c r="N58" s="172">
        <v>0</v>
      </c>
      <c r="Q58" s="173"/>
    </row>
    <row r="59" spans="1:20" x14ac:dyDescent="0.3">
      <c r="I59" t="s">
        <v>137</v>
      </c>
      <c r="J59" s="174">
        <v>0</v>
      </c>
      <c r="K59" s="174">
        <v>0</v>
      </c>
      <c r="L59" s="174">
        <v>0</v>
      </c>
      <c r="M59" s="174">
        <v>0</v>
      </c>
      <c r="N59" s="174">
        <v>0</v>
      </c>
      <c r="Q59" s="173"/>
    </row>
    <row r="60" spans="1:20" x14ac:dyDescent="0.3">
      <c r="H60" t="s">
        <v>0</v>
      </c>
      <c r="O60" t="s">
        <v>0</v>
      </c>
      <c r="Q60" s="173"/>
    </row>
  </sheetData>
  <mergeCells count="50">
    <mergeCell ref="P35:R35"/>
    <mergeCell ref="I36:K36"/>
    <mergeCell ref="M36:N36"/>
    <mergeCell ref="C39:D39"/>
    <mergeCell ref="C41:D41"/>
    <mergeCell ref="I33:K33"/>
    <mergeCell ref="M33:N33"/>
    <mergeCell ref="I34:K34"/>
    <mergeCell ref="M34:N34"/>
    <mergeCell ref="I35:K35"/>
    <mergeCell ref="M35:N35"/>
    <mergeCell ref="I32:N32"/>
    <mergeCell ref="J21:K21"/>
    <mergeCell ref="P21:R21"/>
    <mergeCell ref="J22:K22"/>
    <mergeCell ref="J23:K23"/>
    <mergeCell ref="I25:L25"/>
    <mergeCell ref="J26:K26"/>
    <mergeCell ref="J27:K27"/>
    <mergeCell ref="J28:K28"/>
    <mergeCell ref="P28:R28"/>
    <mergeCell ref="J29:K29"/>
    <mergeCell ref="J30:K30"/>
    <mergeCell ref="J20:K20"/>
    <mergeCell ref="P7:R7"/>
    <mergeCell ref="I8:L8"/>
    <mergeCell ref="I9:L9"/>
    <mergeCell ref="I10:L10"/>
    <mergeCell ref="I11:L11"/>
    <mergeCell ref="I12:L12"/>
    <mergeCell ref="P14:R14"/>
    <mergeCell ref="I15:L15"/>
    <mergeCell ref="I16:L16"/>
    <mergeCell ref="I18:L18"/>
    <mergeCell ref="J19:K19"/>
    <mergeCell ref="C7:D7"/>
    <mergeCell ref="I7:N7"/>
    <mergeCell ref="I2:N2"/>
    <mergeCell ref="P2:R2"/>
    <mergeCell ref="C3:E3"/>
    <mergeCell ref="F3:G3"/>
    <mergeCell ref="I3:L3"/>
    <mergeCell ref="C4:E4"/>
    <mergeCell ref="F4:G4"/>
    <mergeCell ref="I4:L4"/>
    <mergeCell ref="C5:D5"/>
    <mergeCell ref="E5:F5"/>
    <mergeCell ref="I5:L5"/>
    <mergeCell ref="C6:D6"/>
    <mergeCell ref="E6:G6"/>
  </mergeCells>
  <conditionalFormatting sqref="D8:D38 D40">
    <cfRule type="cellIs" dxfId="1" priority="1" operator="equal">
      <formula>$D$48</formula>
    </cfRule>
    <cfRule type="cellIs" dxfId="0" priority="2" operator="equal">
      <formula>$D$47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968C-E50B-4B79-9370-DD9F00858D67}">
  <dimension ref="A1:W27"/>
  <sheetViews>
    <sheetView showGridLines="0" zoomScale="73" zoomScaleNormal="73" workbookViewId="0">
      <selection activeCell="B31" sqref="B31"/>
    </sheetView>
  </sheetViews>
  <sheetFormatPr defaultRowHeight="14.4" x14ac:dyDescent="0.3"/>
  <cols>
    <col min="1" max="1" width="11.5546875" bestFit="1" customWidth="1"/>
    <col min="2" max="2" width="17" bestFit="1" customWidth="1"/>
    <col min="3" max="3" width="9.109375" bestFit="1" customWidth="1"/>
    <col min="4" max="4" width="18.33203125" customWidth="1"/>
    <col min="5" max="5" width="15.5546875" customWidth="1"/>
    <col min="6" max="6" width="15.44140625" bestFit="1" customWidth="1"/>
    <col min="7" max="7" width="14" customWidth="1"/>
    <col min="8" max="8" width="16" customWidth="1"/>
    <col min="9" max="10" width="17" customWidth="1"/>
    <col min="11" max="11" width="19.6640625" customWidth="1"/>
    <col min="12" max="12" width="17.88671875" customWidth="1"/>
    <col min="13" max="13" width="19.6640625" customWidth="1"/>
    <col min="14" max="14" width="13" customWidth="1"/>
    <col min="15" max="15" width="16.5546875" bestFit="1" customWidth="1"/>
    <col min="16" max="16" width="16.5546875" customWidth="1"/>
    <col min="17" max="18" width="13.109375" bestFit="1" customWidth="1"/>
    <col min="19" max="19" width="13.109375" customWidth="1"/>
    <col min="20" max="20" width="13" bestFit="1" customWidth="1"/>
    <col min="21" max="21" width="13.33203125" bestFit="1" customWidth="1"/>
    <col min="22" max="22" width="13" bestFit="1" customWidth="1"/>
    <col min="23" max="23" width="15.33203125" bestFit="1" customWidth="1"/>
  </cols>
  <sheetData>
    <row r="1" spans="1:23" ht="40.950000000000003" customHeight="1" thickBot="1" x14ac:dyDescent="0.35">
      <c r="A1" s="124" t="s">
        <v>15</v>
      </c>
      <c r="B1" s="256">
        <f>'SELL OUT - Milenio 2026'!E5</f>
        <v>46239.356393055554</v>
      </c>
      <c r="C1" s="256"/>
      <c r="D1" s="2"/>
      <c r="E1" s="108">
        <f>SUBTOTAL(9,E4:E891)</f>
        <v>5000000</v>
      </c>
      <c r="F1" s="108">
        <f>SUBTOTAL(9,F4:F891)</f>
        <v>4337671</v>
      </c>
      <c r="G1" s="123">
        <f>F1/E1</f>
        <v>0.86753420000000003</v>
      </c>
      <c r="H1" s="108">
        <f>SUBTOTAL(9,H4:H891)</f>
        <v>364012.40999999992</v>
      </c>
      <c r="I1" s="108">
        <f>SUBTOTAL(9,I4:I891)</f>
        <v>4701683.41</v>
      </c>
      <c r="J1" s="123">
        <f>I1/E1</f>
        <v>0.94033668199999998</v>
      </c>
      <c r="K1" s="109">
        <f>SUBTOTAL(9,K12:K25)</f>
        <v>2044565.2173913042</v>
      </c>
      <c r="L1" s="110">
        <f>SUBTOTAL(9,L12:L25)</f>
        <v>995721.22739130422</v>
      </c>
      <c r="M1" s="108">
        <f t="shared" ref="M1:W1" si="0">SUBTOTAL(9,M4:M891)</f>
        <v>1059654.5899999999</v>
      </c>
      <c r="N1" s="111">
        <f t="shared" si="0"/>
        <v>899</v>
      </c>
      <c r="O1" s="111">
        <f t="shared" si="0"/>
        <v>665</v>
      </c>
      <c r="P1" s="123">
        <f>O1/N1</f>
        <v>0.73971078976640714</v>
      </c>
      <c r="Q1" s="111">
        <f t="shared" si="0"/>
        <v>3</v>
      </c>
      <c r="R1" s="111">
        <f t="shared" si="0"/>
        <v>668</v>
      </c>
      <c r="S1" s="123">
        <f>R1/N1</f>
        <v>0.743047830923248</v>
      </c>
      <c r="T1" s="111">
        <f t="shared" si="0"/>
        <v>917.39130434782601</v>
      </c>
      <c r="U1" s="110">
        <f t="shared" si="0"/>
        <v>319.39130434782612</v>
      </c>
      <c r="V1" s="111">
        <f t="shared" si="0"/>
        <v>231</v>
      </c>
      <c r="W1" s="111">
        <f t="shared" si="0"/>
        <v>0</v>
      </c>
    </row>
    <row r="2" spans="1:23" ht="26.4" thickBot="1" x14ac:dyDescent="0.35">
      <c r="A2" s="253" t="s">
        <v>84</v>
      </c>
      <c r="B2" s="253"/>
      <c r="C2" s="253"/>
      <c r="D2" s="253"/>
      <c r="E2" s="254" t="str">
        <f>"SELL-OUT MÊS "&amp;'SELL OUT - Milenio 2026'!E6</f>
        <v>SELL-OUT MÊS JULHO</v>
      </c>
      <c r="F2" s="254"/>
      <c r="G2" s="254"/>
      <c r="H2" s="254"/>
      <c r="I2" s="254"/>
      <c r="J2" s="254"/>
      <c r="K2" s="254"/>
      <c r="L2" s="254"/>
      <c r="M2" s="254"/>
      <c r="N2" s="255" t="str">
        <f>"POSITIVAÇÃO "&amp;'SELL OUT - Milenio 2026'!E6</f>
        <v>POSITIVAÇÃO JULHO</v>
      </c>
      <c r="O2" s="255"/>
      <c r="P2" s="255"/>
      <c r="Q2" s="255"/>
      <c r="R2" s="255"/>
      <c r="S2" s="255"/>
      <c r="T2" s="255"/>
      <c r="U2" s="255"/>
      <c r="V2" s="255"/>
      <c r="W2" s="255"/>
    </row>
    <row r="3" spans="1:23" ht="41.4" x14ac:dyDescent="0.3">
      <c r="A3" s="112" t="s">
        <v>85</v>
      </c>
      <c r="B3" s="112" t="s">
        <v>86</v>
      </c>
      <c r="C3" s="112" t="s">
        <v>87</v>
      </c>
      <c r="D3" s="112" t="s">
        <v>88</v>
      </c>
      <c r="E3" s="113" t="s">
        <v>52</v>
      </c>
      <c r="F3" s="113" t="s">
        <v>89</v>
      </c>
      <c r="G3" s="113" t="s">
        <v>90</v>
      </c>
      <c r="H3" s="113" t="s">
        <v>91</v>
      </c>
      <c r="I3" s="114" t="s">
        <v>92</v>
      </c>
      <c r="J3" s="114" t="s">
        <v>93</v>
      </c>
      <c r="K3" s="115" t="s">
        <v>94</v>
      </c>
      <c r="L3" s="116" t="s">
        <v>95</v>
      </c>
      <c r="M3" s="117" t="s">
        <v>96</v>
      </c>
      <c r="N3" s="118" t="s">
        <v>97</v>
      </c>
      <c r="O3" s="119" t="s">
        <v>24</v>
      </c>
      <c r="P3" s="122" t="s">
        <v>98</v>
      </c>
      <c r="Q3" s="120" t="s">
        <v>99</v>
      </c>
      <c r="R3" s="120" t="s">
        <v>100</v>
      </c>
      <c r="S3" s="120" t="s">
        <v>101</v>
      </c>
      <c r="T3" s="118" t="s">
        <v>102</v>
      </c>
      <c r="U3" s="118" t="s">
        <v>103</v>
      </c>
      <c r="V3" s="120" t="s">
        <v>104</v>
      </c>
      <c r="W3" s="121" t="s">
        <v>105</v>
      </c>
    </row>
    <row r="4" spans="1:23" x14ac:dyDescent="0.3">
      <c r="A4" s="132">
        <v>906</v>
      </c>
      <c r="B4" s="133" t="s">
        <v>107</v>
      </c>
      <c r="C4" s="133">
        <v>130</v>
      </c>
      <c r="D4" s="133" t="s">
        <v>106</v>
      </c>
      <c r="E4" s="163">
        <v>3000</v>
      </c>
      <c r="F4" s="163">
        <v>2238</v>
      </c>
      <c r="G4" s="134">
        <v>0.746</v>
      </c>
      <c r="H4" s="163">
        <v>0</v>
      </c>
      <c r="I4" s="163">
        <v>2238</v>
      </c>
      <c r="J4" s="134">
        <v>0.746</v>
      </c>
      <c r="K4" s="163">
        <v>3260.8695652173915</v>
      </c>
      <c r="L4" s="163">
        <v>1022.8695652173915</v>
      </c>
      <c r="M4" s="135">
        <v>762</v>
      </c>
      <c r="N4" s="136">
        <v>41</v>
      </c>
      <c r="O4" s="133">
        <v>13</v>
      </c>
      <c r="P4" s="134">
        <v>0.31707317073170732</v>
      </c>
      <c r="Q4" s="133">
        <v>0</v>
      </c>
      <c r="R4" s="133">
        <v>13</v>
      </c>
      <c r="S4" s="134">
        <v>0.31707317073170732</v>
      </c>
      <c r="T4" s="137">
        <v>44.565217391304344</v>
      </c>
      <c r="U4" s="137">
        <v>31.565217391304344</v>
      </c>
      <c r="V4" s="137">
        <v>28</v>
      </c>
      <c r="W4" s="138" t="s">
        <v>109</v>
      </c>
    </row>
    <row r="5" spans="1:23" x14ac:dyDescent="0.3">
      <c r="A5" s="132">
        <v>906</v>
      </c>
      <c r="B5" s="133" t="s">
        <v>107</v>
      </c>
      <c r="C5" s="133">
        <v>135</v>
      </c>
      <c r="D5" s="133" t="s">
        <v>135</v>
      </c>
      <c r="E5" s="163">
        <v>1000</v>
      </c>
      <c r="F5" s="163">
        <v>8060</v>
      </c>
      <c r="G5" s="134">
        <v>8.06</v>
      </c>
      <c r="H5" s="163">
        <v>298.92</v>
      </c>
      <c r="I5" s="163">
        <v>8358.92</v>
      </c>
      <c r="J5" s="134">
        <v>8.3589199999999995</v>
      </c>
      <c r="K5" s="163" t="s">
        <v>109</v>
      </c>
      <c r="L5" s="163" t="s">
        <v>109</v>
      </c>
      <c r="M5" s="135">
        <v>0</v>
      </c>
      <c r="N5" s="136">
        <v>31</v>
      </c>
      <c r="O5" s="133">
        <v>19</v>
      </c>
      <c r="P5" s="134">
        <v>0.61290322580645162</v>
      </c>
      <c r="Q5" s="133">
        <v>0</v>
      </c>
      <c r="R5" s="133">
        <v>19</v>
      </c>
      <c r="S5" s="134">
        <v>0.61290322580645162</v>
      </c>
      <c r="T5" s="137">
        <v>33.695652173913047</v>
      </c>
      <c r="U5" s="137">
        <v>14.695652173913047</v>
      </c>
      <c r="V5" s="137">
        <v>12</v>
      </c>
      <c r="W5" s="138" t="s">
        <v>109</v>
      </c>
    </row>
    <row r="6" spans="1:23" x14ac:dyDescent="0.3">
      <c r="A6" s="132">
        <v>906</v>
      </c>
      <c r="B6" s="133" t="s">
        <v>107</v>
      </c>
      <c r="C6" s="133">
        <v>211</v>
      </c>
      <c r="D6" s="133" t="s">
        <v>108</v>
      </c>
      <c r="E6" s="163">
        <v>400000</v>
      </c>
      <c r="F6" s="163">
        <v>239109</v>
      </c>
      <c r="G6" s="134">
        <v>0.59777250000000004</v>
      </c>
      <c r="H6" s="163">
        <v>714.2399999999999</v>
      </c>
      <c r="I6" s="163">
        <v>239823.24</v>
      </c>
      <c r="J6" s="134">
        <v>0.59955809999999998</v>
      </c>
      <c r="K6" s="163">
        <v>434782.60869565222</v>
      </c>
      <c r="L6" s="163">
        <v>194959.36869565223</v>
      </c>
      <c r="M6" s="135">
        <v>160176.76</v>
      </c>
      <c r="N6" s="136">
        <v>2</v>
      </c>
      <c r="O6" s="133">
        <v>4</v>
      </c>
      <c r="P6" s="134">
        <v>2</v>
      </c>
      <c r="Q6" s="133">
        <v>0</v>
      </c>
      <c r="R6" s="133">
        <v>4</v>
      </c>
      <c r="S6" s="134">
        <v>2</v>
      </c>
      <c r="T6" s="137" t="s">
        <v>109</v>
      </c>
      <c r="U6" s="137" t="s">
        <v>109</v>
      </c>
      <c r="V6" s="137">
        <v>-2</v>
      </c>
      <c r="W6" s="138" t="s">
        <v>109</v>
      </c>
    </row>
    <row r="7" spans="1:23" x14ac:dyDescent="0.3">
      <c r="A7" s="132">
        <v>906</v>
      </c>
      <c r="B7" s="133" t="s">
        <v>107</v>
      </c>
      <c r="C7" s="133">
        <v>301</v>
      </c>
      <c r="D7" s="133" t="s">
        <v>110</v>
      </c>
      <c r="E7" s="163">
        <v>300000</v>
      </c>
      <c r="F7" s="163">
        <v>504260</v>
      </c>
      <c r="G7" s="134">
        <v>1.6808666666666667</v>
      </c>
      <c r="H7" s="163">
        <v>0</v>
      </c>
      <c r="I7" s="163">
        <v>504260</v>
      </c>
      <c r="J7" s="134">
        <v>1.6808666666666667</v>
      </c>
      <c r="K7" s="163" t="s">
        <v>109</v>
      </c>
      <c r="L7" s="163" t="s">
        <v>109</v>
      </c>
      <c r="M7" s="135">
        <v>0</v>
      </c>
      <c r="N7" s="136">
        <v>38</v>
      </c>
      <c r="O7" s="133">
        <v>40</v>
      </c>
      <c r="P7" s="134">
        <v>1.0526315789473684</v>
      </c>
      <c r="Q7" s="133">
        <v>0</v>
      </c>
      <c r="R7" s="133">
        <v>40</v>
      </c>
      <c r="S7" s="134">
        <v>1.0526315789473684</v>
      </c>
      <c r="T7" s="137">
        <v>41.304347826086953</v>
      </c>
      <c r="U7" s="137">
        <v>1.3043478260869534</v>
      </c>
      <c r="V7" s="137">
        <v>-2</v>
      </c>
      <c r="W7" s="138" t="s">
        <v>109</v>
      </c>
    </row>
    <row r="8" spans="1:23" x14ac:dyDescent="0.3">
      <c r="A8" s="132">
        <v>906</v>
      </c>
      <c r="B8" s="133" t="s">
        <v>107</v>
      </c>
      <c r="C8" s="133">
        <v>507</v>
      </c>
      <c r="D8" s="133" t="s">
        <v>111</v>
      </c>
      <c r="E8" s="163">
        <v>1000000</v>
      </c>
      <c r="F8" s="163">
        <v>1314331</v>
      </c>
      <c r="G8" s="134">
        <v>1.3143309999999999</v>
      </c>
      <c r="H8" s="163">
        <v>6164.6799999999985</v>
      </c>
      <c r="I8" s="163">
        <v>1320495.68</v>
      </c>
      <c r="J8" s="134">
        <v>1.3204956799999998</v>
      </c>
      <c r="K8" s="163" t="s">
        <v>109</v>
      </c>
      <c r="L8" s="163" t="s">
        <v>109</v>
      </c>
      <c r="M8" s="135">
        <v>0</v>
      </c>
      <c r="N8" s="136">
        <v>16</v>
      </c>
      <c r="O8" s="133">
        <v>3</v>
      </c>
      <c r="P8" s="134">
        <v>0.1875</v>
      </c>
      <c r="Q8" s="133">
        <v>0</v>
      </c>
      <c r="R8" s="133">
        <v>3</v>
      </c>
      <c r="S8" s="134">
        <v>0.1875</v>
      </c>
      <c r="T8" s="137">
        <v>17.391304347826086</v>
      </c>
      <c r="U8" s="137">
        <v>14.391304347826086</v>
      </c>
      <c r="V8" s="137">
        <v>13</v>
      </c>
      <c r="W8" s="138" t="s">
        <v>109</v>
      </c>
    </row>
    <row r="9" spans="1:23" x14ac:dyDescent="0.3">
      <c r="A9" s="132">
        <v>906</v>
      </c>
      <c r="B9" s="133" t="s">
        <v>107</v>
      </c>
      <c r="C9" s="133">
        <v>702</v>
      </c>
      <c r="D9" s="133" t="s">
        <v>112</v>
      </c>
      <c r="E9" s="163">
        <v>300000</v>
      </c>
      <c r="F9" s="163">
        <v>247152</v>
      </c>
      <c r="G9" s="134">
        <v>0.82384000000000002</v>
      </c>
      <c r="H9" s="163">
        <v>93920.819999999861</v>
      </c>
      <c r="I9" s="163">
        <v>341072.81999999983</v>
      </c>
      <c r="J9" s="134">
        <v>1.1369093999999995</v>
      </c>
      <c r="K9" s="163" t="s">
        <v>109</v>
      </c>
      <c r="L9" s="163" t="s">
        <v>109</v>
      </c>
      <c r="M9" s="135">
        <v>0</v>
      </c>
      <c r="N9" s="136">
        <v>24</v>
      </c>
      <c r="O9" s="133">
        <v>29</v>
      </c>
      <c r="P9" s="134">
        <v>1.2083333333333333</v>
      </c>
      <c r="Q9" s="133">
        <v>0</v>
      </c>
      <c r="R9" s="133">
        <v>29</v>
      </c>
      <c r="S9" s="134">
        <v>1.2083333333333333</v>
      </c>
      <c r="T9" s="137" t="s">
        <v>109</v>
      </c>
      <c r="U9" s="137" t="s">
        <v>109</v>
      </c>
      <c r="V9" s="137">
        <v>-5</v>
      </c>
      <c r="W9" s="138" t="s">
        <v>109</v>
      </c>
    </row>
    <row r="10" spans="1:23" x14ac:dyDescent="0.3">
      <c r="A10" s="132">
        <v>910</v>
      </c>
      <c r="B10" s="133" t="s">
        <v>114</v>
      </c>
      <c r="C10" s="133">
        <v>704</v>
      </c>
      <c r="D10" s="133" t="s">
        <v>115</v>
      </c>
      <c r="E10" s="163">
        <v>270000</v>
      </c>
      <c r="F10" s="163">
        <v>153779</v>
      </c>
      <c r="G10" s="134">
        <v>0.56955185185185186</v>
      </c>
      <c r="H10" s="163">
        <v>150245.67000000001</v>
      </c>
      <c r="I10" s="163">
        <v>304024.67000000004</v>
      </c>
      <c r="J10" s="134">
        <v>1.1260172962962964</v>
      </c>
      <c r="K10" s="163" t="s">
        <v>109</v>
      </c>
      <c r="L10" s="163" t="s">
        <v>109</v>
      </c>
      <c r="M10" s="135">
        <v>0</v>
      </c>
      <c r="N10" s="136">
        <v>42</v>
      </c>
      <c r="O10" s="133">
        <v>32</v>
      </c>
      <c r="P10" s="134">
        <v>0.76190476190476186</v>
      </c>
      <c r="Q10" s="133">
        <v>0</v>
      </c>
      <c r="R10" s="133">
        <v>32</v>
      </c>
      <c r="S10" s="134">
        <v>0.76190476190476186</v>
      </c>
      <c r="T10" s="137">
        <v>45.652173913043477</v>
      </c>
      <c r="U10" s="137">
        <v>13.652173913043477</v>
      </c>
      <c r="V10" s="137">
        <v>10</v>
      </c>
      <c r="W10" s="138" t="s">
        <v>109</v>
      </c>
    </row>
    <row r="11" spans="1:23" x14ac:dyDescent="0.3">
      <c r="A11" s="132">
        <v>910</v>
      </c>
      <c r="B11" s="133" t="s">
        <v>114</v>
      </c>
      <c r="C11" s="133">
        <v>705</v>
      </c>
      <c r="D11" s="133" t="s">
        <v>116</v>
      </c>
      <c r="E11" s="163">
        <v>150000</v>
      </c>
      <c r="F11" s="163">
        <v>120276</v>
      </c>
      <c r="G11" s="134">
        <v>0.80184</v>
      </c>
      <c r="H11" s="163">
        <v>14702.179999999993</v>
      </c>
      <c r="I11" s="163">
        <v>134978.18</v>
      </c>
      <c r="J11" s="134">
        <v>0.89985453333333332</v>
      </c>
      <c r="K11" s="163">
        <v>163043.47826086957</v>
      </c>
      <c r="L11" s="163">
        <v>28065.298260869575</v>
      </c>
      <c r="M11" s="135">
        <v>15021.820000000007</v>
      </c>
      <c r="N11" s="136">
        <v>67</v>
      </c>
      <c r="O11" s="133">
        <v>54</v>
      </c>
      <c r="P11" s="134">
        <v>0.80597014925373134</v>
      </c>
      <c r="Q11" s="133">
        <v>0</v>
      </c>
      <c r="R11" s="133">
        <v>54</v>
      </c>
      <c r="S11" s="134">
        <v>0.80597014925373134</v>
      </c>
      <c r="T11" s="137">
        <v>72.826086956521735</v>
      </c>
      <c r="U11" s="137">
        <v>18.826086956521735</v>
      </c>
      <c r="V11" s="137">
        <v>13</v>
      </c>
      <c r="W11" s="138" t="s">
        <v>109</v>
      </c>
    </row>
    <row r="12" spans="1:23" x14ac:dyDescent="0.3">
      <c r="A12" s="132">
        <v>902</v>
      </c>
      <c r="B12" s="133" t="s">
        <v>113</v>
      </c>
      <c r="C12" s="133">
        <v>706</v>
      </c>
      <c r="D12" s="133" t="s">
        <v>117</v>
      </c>
      <c r="E12" s="163">
        <v>100000</v>
      </c>
      <c r="F12" s="163">
        <v>41195</v>
      </c>
      <c r="G12" s="134">
        <v>0.41194999999999998</v>
      </c>
      <c r="H12" s="163">
        <v>0</v>
      </c>
      <c r="I12" s="163">
        <v>41195</v>
      </c>
      <c r="J12" s="134">
        <v>0.41194999999999998</v>
      </c>
      <c r="K12" s="163">
        <v>108695.65217391305</v>
      </c>
      <c r="L12" s="163">
        <v>67500.652173913055</v>
      </c>
      <c r="M12" s="135">
        <v>58805</v>
      </c>
      <c r="N12" s="136">
        <v>34</v>
      </c>
      <c r="O12" s="133">
        <v>20</v>
      </c>
      <c r="P12" s="134">
        <v>0.58823529411764708</v>
      </c>
      <c r="Q12" s="133">
        <v>0</v>
      </c>
      <c r="R12" s="133">
        <v>20</v>
      </c>
      <c r="S12" s="134">
        <v>0.58823529411764708</v>
      </c>
      <c r="T12" s="137">
        <v>36.95652173913043</v>
      </c>
      <c r="U12" s="137">
        <v>16.95652173913043</v>
      </c>
      <c r="V12" s="137">
        <v>14</v>
      </c>
      <c r="W12" s="138" t="s">
        <v>109</v>
      </c>
    </row>
    <row r="13" spans="1:23" x14ac:dyDescent="0.3">
      <c r="A13" s="132">
        <v>910</v>
      </c>
      <c r="B13" s="133" t="s">
        <v>114</v>
      </c>
      <c r="C13" s="133">
        <v>707</v>
      </c>
      <c r="D13" s="133" t="s">
        <v>118</v>
      </c>
      <c r="E13" s="163">
        <v>100000</v>
      </c>
      <c r="F13" s="163">
        <v>21457</v>
      </c>
      <c r="G13" s="134">
        <v>0.21457000000000001</v>
      </c>
      <c r="H13" s="163">
        <v>0</v>
      </c>
      <c r="I13" s="163">
        <v>21457</v>
      </c>
      <c r="J13" s="134">
        <v>0.21457000000000001</v>
      </c>
      <c r="K13" s="163">
        <v>108695.65217391305</v>
      </c>
      <c r="L13" s="163">
        <v>87238.652173913055</v>
      </c>
      <c r="M13" s="135">
        <v>78543</v>
      </c>
      <c r="N13" s="136">
        <v>41</v>
      </c>
      <c r="O13" s="133">
        <v>21</v>
      </c>
      <c r="P13" s="134">
        <v>0.51219512195121952</v>
      </c>
      <c r="Q13" s="133">
        <v>0</v>
      </c>
      <c r="R13" s="133">
        <v>21</v>
      </c>
      <c r="S13" s="134">
        <v>0.51219512195121952</v>
      </c>
      <c r="T13" s="137">
        <v>44.565217391304344</v>
      </c>
      <c r="U13" s="137">
        <v>23.565217391304344</v>
      </c>
      <c r="V13" s="137">
        <v>20</v>
      </c>
      <c r="W13" s="138" t="s">
        <v>109</v>
      </c>
    </row>
    <row r="14" spans="1:23" x14ac:dyDescent="0.3">
      <c r="A14" s="132">
        <v>902</v>
      </c>
      <c r="B14" s="133" t="s">
        <v>113</v>
      </c>
      <c r="C14" s="133">
        <v>708</v>
      </c>
      <c r="D14" s="133" t="s">
        <v>119</v>
      </c>
      <c r="E14" s="163">
        <v>160000</v>
      </c>
      <c r="F14" s="163">
        <v>176253</v>
      </c>
      <c r="G14" s="134">
        <v>1.10158125</v>
      </c>
      <c r="H14" s="163">
        <v>13988.839999999998</v>
      </c>
      <c r="I14" s="163">
        <v>190241.84</v>
      </c>
      <c r="J14" s="134">
        <v>1.1890114999999999</v>
      </c>
      <c r="K14" s="163" t="s">
        <v>109</v>
      </c>
      <c r="L14" s="163" t="s">
        <v>109</v>
      </c>
      <c r="M14" s="135">
        <v>0</v>
      </c>
      <c r="N14" s="136">
        <v>47</v>
      </c>
      <c r="O14" s="133">
        <v>47</v>
      </c>
      <c r="P14" s="134">
        <v>1</v>
      </c>
      <c r="Q14" s="133">
        <v>2</v>
      </c>
      <c r="R14" s="133">
        <v>49</v>
      </c>
      <c r="S14" s="134">
        <v>1.0425531914893618</v>
      </c>
      <c r="T14" s="137">
        <v>51.086956521739133</v>
      </c>
      <c r="U14" s="137">
        <v>2.0869565217391326</v>
      </c>
      <c r="V14" s="137">
        <v>-2</v>
      </c>
      <c r="W14" s="138" t="s">
        <v>109</v>
      </c>
    </row>
    <row r="15" spans="1:23" x14ac:dyDescent="0.3">
      <c r="A15" s="132">
        <v>902</v>
      </c>
      <c r="B15" s="133" t="s">
        <v>113</v>
      </c>
      <c r="C15" s="133">
        <v>709</v>
      </c>
      <c r="D15" s="133" t="s">
        <v>120</v>
      </c>
      <c r="E15" s="163">
        <v>100000</v>
      </c>
      <c r="F15" s="163">
        <v>1406</v>
      </c>
      <c r="G15" s="134">
        <v>1.406E-2</v>
      </c>
      <c r="H15" s="163">
        <v>0</v>
      </c>
      <c r="I15" s="163">
        <v>1406</v>
      </c>
      <c r="J15" s="134">
        <v>1.406E-2</v>
      </c>
      <c r="K15" s="163">
        <v>108695.65217391305</v>
      </c>
      <c r="L15" s="163">
        <v>107289.65217391305</v>
      </c>
      <c r="M15" s="135">
        <v>98594</v>
      </c>
      <c r="N15" s="136">
        <v>44</v>
      </c>
      <c r="O15" s="133">
        <v>12</v>
      </c>
      <c r="P15" s="134">
        <v>0.27272727272727271</v>
      </c>
      <c r="Q15" s="133">
        <v>0</v>
      </c>
      <c r="R15" s="133">
        <v>12</v>
      </c>
      <c r="S15" s="134">
        <v>0.27272727272727271</v>
      </c>
      <c r="T15" s="137">
        <v>47.826086956521742</v>
      </c>
      <c r="U15" s="137">
        <v>35.826086956521742</v>
      </c>
      <c r="V15" s="137">
        <v>32</v>
      </c>
      <c r="W15" s="138" t="s">
        <v>109</v>
      </c>
    </row>
    <row r="16" spans="1:23" x14ac:dyDescent="0.3">
      <c r="A16" s="132">
        <v>910</v>
      </c>
      <c r="B16" s="133" t="s">
        <v>114</v>
      </c>
      <c r="C16" s="133">
        <v>710</v>
      </c>
      <c r="D16" s="133" t="s">
        <v>121</v>
      </c>
      <c r="E16" s="163">
        <v>150000</v>
      </c>
      <c r="F16" s="163">
        <v>138125</v>
      </c>
      <c r="G16" s="134">
        <v>0.92083333333333328</v>
      </c>
      <c r="H16" s="163">
        <v>63027.740000000013</v>
      </c>
      <c r="I16" s="163">
        <v>201152.74000000002</v>
      </c>
      <c r="J16" s="134">
        <v>1.3410182666666668</v>
      </c>
      <c r="K16" s="163" t="s">
        <v>109</v>
      </c>
      <c r="L16" s="163" t="s">
        <v>109</v>
      </c>
      <c r="M16" s="135">
        <v>0</v>
      </c>
      <c r="N16" s="136">
        <v>49</v>
      </c>
      <c r="O16" s="133">
        <v>38</v>
      </c>
      <c r="P16" s="134">
        <v>0.77551020408163263</v>
      </c>
      <c r="Q16" s="133">
        <v>0</v>
      </c>
      <c r="R16" s="133">
        <v>38</v>
      </c>
      <c r="S16" s="134">
        <v>0.77551020408163263</v>
      </c>
      <c r="T16" s="137">
        <v>53.260869565217398</v>
      </c>
      <c r="U16" s="137">
        <v>15.260869565217398</v>
      </c>
      <c r="V16" s="137">
        <v>11</v>
      </c>
      <c r="W16" s="138" t="s">
        <v>109</v>
      </c>
    </row>
    <row r="17" spans="1:23" x14ac:dyDescent="0.3">
      <c r="A17" s="132">
        <v>902</v>
      </c>
      <c r="B17" s="133" t="s">
        <v>113</v>
      </c>
      <c r="C17" s="133">
        <v>711</v>
      </c>
      <c r="D17" s="133" t="s">
        <v>122</v>
      </c>
      <c r="E17" s="163">
        <v>100000</v>
      </c>
      <c r="F17" s="163">
        <v>61606</v>
      </c>
      <c r="G17" s="134">
        <v>0.61606000000000005</v>
      </c>
      <c r="H17" s="163">
        <v>1013.71</v>
      </c>
      <c r="I17" s="163">
        <v>62619.71</v>
      </c>
      <c r="J17" s="134">
        <v>0.62619709999999995</v>
      </c>
      <c r="K17" s="163">
        <v>108695.65217391305</v>
      </c>
      <c r="L17" s="163">
        <v>46075.942173913056</v>
      </c>
      <c r="M17" s="135">
        <v>37380.29</v>
      </c>
      <c r="N17" s="136">
        <v>55</v>
      </c>
      <c r="O17" s="133">
        <v>54</v>
      </c>
      <c r="P17" s="134">
        <v>0.98181818181818181</v>
      </c>
      <c r="Q17" s="133">
        <v>1</v>
      </c>
      <c r="R17" s="133">
        <v>55</v>
      </c>
      <c r="S17" s="134">
        <v>1</v>
      </c>
      <c r="T17" s="137">
        <v>59.782608695652172</v>
      </c>
      <c r="U17" s="137">
        <v>4.7826086956521721</v>
      </c>
      <c r="V17" s="137">
        <v>0</v>
      </c>
      <c r="W17" s="138" t="s">
        <v>109</v>
      </c>
    </row>
    <row r="18" spans="1:23" x14ac:dyDescent="0.3">
      <c r="A18" s="132">
        <v>910</v>
      </c>
      <c r="B18" s="133" t="s">
        <v>114</v>
      </c>
      <c r="C18" s="133">
        <v>712</v>
      </c>
      <c r="D18" s="133" t="s">
        <v>123</v>
      </c>
      <c r="E18" s="163">
        <v>100000</v>
      </c>
      <c r="F18" s="163">
        <v>50105</v>
      </c>
      <c r="G18" s="134">
        <v>0.50105</v>
      </c>
      <c r="H18" s="163">
        <v>357.12</v>
      </c>
      <c r="I18" s="163">
        <v>50462.12</v>
      </c>
      <c r="J18" s="134">
        <v>0.50462119999999999</v>
      </c>
      <c r="K18" s="163">
        <v>108695.65217391305</v>
      </c>
      <c r="L18" s="163">
        <v>58233.532173913052</v>
      </c>
      <c r="M18" s="135">
        <v>49537.88</v>
      </c>
      <c r="N18" s="136">
        <v>36</v>
      </c>
      <c r="O18" s="133">
        <v>21</v>
      </c>
      <c r="P18" s="134">
        <v>0.58333333333333337</v>
      </c>
      <c r="Q18" s="133">
        <v>0</v>
      </c>
      <c r="R18" s="133">
        <v>21</v>
      </c>
      <c r="S18" s="134">
        <v>0.58333333333333337</v>
      </c>
      <c r="T18" s="137">
        <v>39.130434782608695</v>
      </c>
      <c r="U18" s="137">
        <v>18.130434782608695</v>
      </c>
      <c r="V18" s="137">
        <v>15</v>
      </c>
      <c r="W18" s="138" t="s">
        <v>109</v>
      </c>
    </row>
    <row r="19" spans="1:23" x14ac:dyDescent="0.3">
      <c r="A19" s="132">
        <v>902</v>
      </c>
      <c r="B19" s="133" t="s">
        <v>113</v>
      </c>
      <c r="C19" s="133">
        <v>714</v>
      </c>
      <c r="D19" s="133" t="s">
        <v>124</v>
      </c>
      <c r="E19" s="163">
        <v>300000</v>
      </c>
      <c r="F19" s="163">
        <v>133537</v>
      </c>
      <c r="G19" s="134">
        <v>0.44512333333333332</v>
      </c>
      <c r="H19" s="163">
        <v>0</v>
      </c>
      <c r="I19" s="163">
        <v>133537</v>
      </c>
      <c r="J19" s="134">
        <v>0.44512333333333332</v>
      </c>
      <c r="K19" s="163">
        <v>326086.95652173914</v>
      </c>
      <c r="L19" s="163">
        <v>192549.95652173914</v>
      </c>
      <c r="M19" s="135">
        <v>166463</v>
      </c>
      <c r="N19" s="136">
        <v>19</v>
      </c>
      <c r="O19" s="133">
        <v>17</v>
      </c>
      <c r="P19" s="134">
        <v>0.89473684210526316</v>
      </c>
      <c r="Q19" s="133">
        <v>0</v>
      </c>
      <c r="R19" s="133">
        <v>17</v>
      </c>
      <c r="S19" s="134">
        <v>0.89473684210526316</v>
      </c>
      <c r="T19" s="137">
        <v>20.652173913043477</v>
      </c>
      <c r="U19" s="137">
        <v>3.6521739130434767</v>
      </c>
      <c r="V19" s="137">
        <v>2</v>
      </c>
      <c r="W19" s="138" t="s">
        <v>109</v>
      </c>
    </row>
    <row r="20" spans="1:23" x14ac:dyDescent="0.3">
      <c r="A20" s="132">
        <v>910</v>
      </c>
      <c r="B20" s="133" t="s">
        <v>114</v>
      </c>
      <c r="C20" s="133">
        <v>715</v>
      </c>
      <c r="D20" s="133" t="s">
        <v>125</v>
      </c>
      <c r="E20" s="163">
        <v>120000</v>
      </c>
      <c r="F20" s="163">
        <v>144099</v>
      </c>
      <c r="G20" s="134">
        <v>1.200825</v>
      </c>
      <c r="H20" s="163">
        <v>17614.329999999998</v>
      </c>
      <c r="I20" s="163">
        <v>161713.32999999999</v>
      </c>
      <c r="J20" s="134">
        <v>1.3476110833333332</v>
      </c>
      <c r="K20" s="163" t="s">
        <v>109</v>
      </c>
      <c r="L20" s="163" t="s">
        <v>109</v>
      </c>
      <c r="M20" s="135">
        <v>0</v>
      </c>
      <c r="N20" s="136">
        <v>20</v>
      </c>
      <c r="O20" s="133">
        <v>13</v>
      </c>
      <c r="P20" s="134">
        <v>0.65</v>
      </c>
      <c r="Q20" s="133">
        <v>0</v>
      </c>
      <c r="R20" s="133">
        <v>13</v>
      </c>
      <c r="S20" s="134">
        <v>0.65</v>
      </c>
      <c r="T20" s="137">
        <v>21.739130434782609</v>
      </c>
      <c r="U20" s="137">
        <v>8.7391304347826093</v>
      </c>
      <c r="V20" s="137">
        <v>7</v>
      </c>
      <c r="W20" s="138" t="s">
        <v>109</v>
      </c>
    </row>
    <row r="21" spans="1:23" x14ac:dyDescent="0.3">
      <c r="A21" s="132">
        <v>910</v>
      </c>
      <c r="B21" s="133" t="s">
        <v>114</v>
      </c>
      <c r="C21" s="133">
        <v>716</v>
      </c>
      <c r="D21" s="133" t="s">
        <v>126</v>
      </c>
      <c r="E21" s="163">
        <v>100000</v>
      </c>
      <c r="F21" s="163">
        <v>23734</v>
      </c>
      <c r="G21" s="134">
        <v>0.23734</v>
      </c>
      <c r="H21" s="163">
        <v>0</v>
      </c>
      <c r="I21" s="163">
        <v>23734</v>
      </c>
      <c r="J21" s="134">
        <v>0.23734</v>
      </c>
      <c r="K21" s="163">
        <v>108695.65217391305</v>
      </c>
      <c r="L21" s="163">
        <v>84961.652173913055</v>
      </c>
      <c r="M21" s="135">
        <v>76266</v>
      </c>
      <c r="N21" s="136">
        <v>32</v>
      </c>
      <c r="O21" s="133">
        <v>19</v>
      </c>
      <c r="P21" s="134">
        <v>0.59375</v>
      </c>
      <c r="Q21" s="133">
        <v>0</v>
      </c>
      <c r="R21" s="133">
        <v>19</v>
      </c>
      <c r="S21" s="134">
        <v>0.59375</v>
      </c>
      <c r="T21" s="137">
        <v>34.782608695652172</v>
      </c>
      <c r="U21" s="137">
        <v>15.782608695652172</v>
      </c>
      <c r="V21" s="137">
        <v>13</v>
      </c>
      <c r="W21" s="138" t="s">
        <v>109</v>
      </c>
    </row>
    <row r="22" spans="1:23" x14ac:dyDescent="0.3">
      <c r="A22" s="132">
        <v>910</v>
      </c>
      <c r="B22" s="133" t="s">
        <v>114</v>
      </c>
      <c r="C22" s="133">
        <v>718</v>
      </c>
      <c r="D22" s="133" t="s">
        <v>127</v>
      </c>
      <c r="E22" s="163">
        <v>180000</v>
      </c>
      <c r="F22" s="163">
        <v>210517</v>
      </c>
      <c r="G22" s="134">
        <v>1.1695388888888889</v>
      </c>
      <c r="H22" s="163">
        <v>0</v>
      </c>
      <c r="I22" s="163">
        <v>210517</v>
      </c>
      <c r="J22" s="134">
        <v>1.1695388888888889</v>
      </c>
      <c r="K22" s="163" t="s">
        <v>109</v>
      </c>
      <c r="L22" s="163" t="s">
        <v>109</v>
      </c>
      <c r="M22" s="135">
        <v>0</v>
      </c>
      <c r="N22" s="136">
        <v>67</v>
      </c>
      <c r="O22" s="133">
        <v>61</v>
      </c>
      <c r="P22" s="134">
        <v>0.91044776119402981</v>
      </c>
      <c r="Q22" s="133">
        <v>0</v>
      </c>
      <c r="R22" s="133">
        <v>61</v>
      </c>
      <c r="S22" s="134">
        <v>0.91044776119402981</v>
      </c>
      <c r="T22" s="137">
        <v>72.826086956521735</v>
      </c>
      <c r="U22" s="137">
        <v>11.826086956521735</v>
      </c>
      <c r="V22" s="137">
        <v>6</v>
      </c>
      <c r="W22" s="138" t="s">
        <v>109</v>
      </c>
    </row>
    <row r="23" spans="1:23" x14ac:dyDescent="0.3">
      <c r="A23" s="132">
        <v>906</v>
      </c>
      <c r="B23" s="133" t="s">
        <v>107</v>
      </c>
      <c r="C23" s="133">
        <v>721</v>
      </c>
      <c r="D23" s="133" t="s">
        <v>128</v>
      </c>
      <c r="E23" s="163">
        <v>850000</v>
      </c>
      <c r="F23" s="163">
        <v>686993</v>
      </c>
      <c r="G23" s="134">
        <v>0.80822705882352941</v>
      </c>
      <c r="H23" s="163">
        <v>1964.1599999999996</v>
      </c>
      <c r="I23" s="163">
        <v>688957.16</v>
      </c>
      <c r="J23" s="134">
        <v>0.81053783529411771</v>
      </c>
      <c r="K23" s="163">
        <v>923913.04347826075</v>
      </c>
      <c r="L23" s="163">
        <v>234955.88347826072</v>
      </c>
      <c r="M23" s="135">
        <v>161042.83999999997</v>
      </c>
      <c r="N23" s="136">
        <v>26</v>
      </c>
      <c r="O23" s="133">
        <v>21</v>
      </c>
      <c r="P23" s="134">
        <v>0.80769230769230771</v>
      </c>
      <c r="Q23" s="133">
        <v>0</v>
      </c>
      <c r="R23" s="133">
        <v>21</v>
      </c>
      <c r="S23" s="134">
        <v>0.80769230769230771</v>
      </c>
      <c r="T23" s="137">
        <v>28.260869565217391</v>
      </c>
      <c r="U23" s="137">
        <v>7.2608695652173907</v>
      </c>
      <c r="V23" s="137">
        <v>5</v>
      </c>
      <c r="W23" s="138" t="s">
        <v>109</v>
      </c>
    </row>
    <row r="24" spans="1:23" x14ac:dyDescent="0.3">
      <c r="A24" s="132">
        <v>902</v>
      </c>
      <c r="B24" s="133" t="s">
        <v>113</v>
      </c>
      <c r="C24" s="133">
        <v>752</v>
      </c>
      <c r="D24" s="133" t="s">
        <v>129</v>
      </c>
      <c r="E24" s="163">
        <v>61000</v>
      </c>
      <c r="F24" s="163">
        <v>3706</v>
      </c>
      <c r="G24" s="134">
        <v>6.0754098360655741E-2</v>
      </c>
      <c r="H24" s="163">
        <v>0</v>
      </c>
      <c r="I24" s="163">
        <v>3706</v>
      </c>
      <c r="J24" s="134">
        <v>6.0754098360655741E-2</v>
      </c>
      <c r="K24" s="163">
        <v>66304.34782608696</v>
      </c>
      <c r="L24" s="163">
        <v>62598.34782608696</v>
      </c>
      <c r="M24" s="135">
        <v>57294</v>
      </c>
      <c r="N24" s="136">
        <v>51</v>
      </c>
      <c r="O24" s="133">
        <v>12</v>
      </c>
      <c r="P24" s="134">
        <v>0.23529411764705882</v>
      </c>
      <c r="Q24" s="133">
        <v>0</v>
      </c>
      <c r="R24" s="133">
        <v>12</v>
      </c>
      <c r="S24" s="134">
        <v>0.23529411764705882</v>
      </c>
      <c r="T24" s="137">
        <v>55.434782608695656</v>
      </c>
      <c r="U24" s="137">
        <v>43.434782608695656</v>
      </c>
      <c r="V24" s="137">
        <v>39</v>
      </c>
      <c r="W24" s="138" t="s">
        <v>109</v>
      </c>
    </row>
    <row r="25" spans="1:23" x14ac:dyDescent="0.3">
      <c r="A25" s="132">
        <v>902</v>
      </c>
      <c r="B25" s="133" t="s">
        <v>113</v>
      </c>
      <c r="C25" s="133">
        <v>757</v>
      </c>
      <c r="D25" s="133" t="s">
        <v>130</v>
      </c>
      <c r="E25" s="163">
        <v>70000</v>
      </c>
      <c r="F25" s="163">
        <v>21770</v>
      </c>
      <c r="G25" s="134">
        <v>0.311</v>
      </c>
      <c r="H25" s="163">
        <v>0</v>
      </c>
      <c r="I25" s="163">
        <v>21770</v>
      </c>
      <c r="J25" s="134">
        <v>0.311</v>
      </c>
      <c r="K25" s="163">
        <v>76086.956521739121</v>
      </c>
      <c r="L25" s="163">
        <v>54316.956521739121</v>
      </c>
      <c r="M25" s="135">
        <v>48230</v>
      </c>
      <c r="N25" s="136">
        <v>44</v>
      </c>
      <c r="O25" s="133">
        <v>41</v>
      </c>
      <c r="P25" s="134">
        <v>0.93181818181818177</v>
      </c>
      <c r="Q25" s="133">
        <v>0</v>
      </c>
      <c r="R25" s="133">
        <v>41</v>
      </c>
      <c r="S25" s="134">
        <v>0.93181818181818177</v>
      </c>
      <c r="T25" s="137">
        <v>47.826086956521742</v>
      </c>
      <c r="U25" s="137">
        <v>6.8260869565217419</v>
      </c>
      <c r="V25" s="137">
        <v>3</v>
      </c>
      <c r="W25" s="138" t="s">
        <v>109</v>
      </c>
    </row>
    <row r="26" spans="1:23" x14ac:dyDescent="0.3">
      <c r="A26" s="132">
        <v>902</v>
      </c>
      <c r="B26" s="133" t="s">
        <v>113</v>
      </c>
      <c r="C26" s="133">
        <v>759</v>
      </c>
      <c r="D26" s="133" t="s">
        <v>131</v>
      </c>
      <c r="E26" s="163">
        <v>65000</v>
      </c>
      <c r="F26" s="163">
        <v>13462</v>
      </c>
      <c r="G26" s="134">
        <v>0.2071076923076923</v>
      </c>
      <c r="H26" s="163">
        <v>0</v>
      </c>
      <c r="I26" s="163">
        <v>13462</v>
      </c>
      <c r="J26" s="134">
        <v>0.2071076923076923</v>
      </c>
      <c r="K26" s="163">
        <v>70652.173913043473</v>
      </c>
      <c r="L26" s="163">
        <v>57190.173913043473</v>
      </c>
      <c r="M26" s="135">
        <v>51538</v>
      </c>
      <c r="N26" s="136">
        <v>44</v>
      </c>
      <c r="O26" s="133">
        <v>37</v>
      </c>
      <c r="P26" s="134">
        <v>0.84090909090909094</v>
      </c>
      <c r="Q26" s="133">
        <v>0</v>
      </c>
      <c r="R26" s="133">
        <v>37</v>
      </c>
      <c r="S26" s="134">
        <v>0.84090909090909094</v>
      </c>
      <c r="T26" s="137">
        <v>47.826086956521742</v>
      </c>
      <c r="U26" s="137">
        <v>10.826086956521742</v>
      </c>
      <c r="V26" s="137">
        <v>7</v>
      </c>
      <c r="W26" s="138" t="s">
        <v>109</v>
      </c>
    </row>
    <row r="27" spans="1:23" x14ac:dyDescent="0.3">
      <c r="A27" s="132">
        <v>902</v>
      </c>
      <c r="B27" s="133" t="s">
        <v>113</v>
      </c>
      <c r="C27" s="133">
        <v>800</v>
      </c>
      <c r="D27" s="133" t="s">
        <v>132</v>
      </c>
      <c r="E27" s="163">
        <v>20000</v>
      </c>
      <c r="F27" s="163">
        <v>20501</v>
      </c>
      <c r="G27" s="134">
        <v>1.02505</v>
      </c>
      <c r="H27" s="163">
        <v>0</v>
      </c>
      <c r="I27" s="163">
        <v>20501</v>
      </c>
      <c r="J27" s="134">
        <v>1.02505</v>
      </c>
      <c r="K27" s="163">
        <v>21739.130434782608</v>
      </c>
      <c r="L27" s="163">
        <v>1238.1304347826081</v>
      </c>
      <c r="M27" s="135">
        <v>0</v>
      </c>
      <c r="N27" s="136">
        <v>29</v>
      </c>
      <c r="O27" s="133">
        <v>37</v>
      </c>
      <c r="P27" s="134">
        <v>1.2758620689655173</v>
      </c>
      <c r="Q27" s="133">
        <v>0</v>
      </c>
      <c r="R27" s="133">
        <v>37</v>
      </c>
      <c r="S27" s="134">
        <v>1.2758620689655173</v>
      </c>
      <c r="T27" s="137" t="s">
        <v>109</v>
      </c>
      <c r="U27" s="137" t="s">
        <v>109</v>
      </c>
      <c r="V27" s="137">
        <v>-8</v>
      </c>
      <c r="W27" s="138" t="s">
        <v>109</v>
      </c>
    </row>
  </sheetData>
  <autoFilter ref="A3:W27" xr:uid="{C015968C-E50B-4B79-9370-DD9F00858D67}"/>
  <mergeCells count="4">
    <mergeCell ref="A2:D2"/>
    <mergeCell ref="E2:M2"/>
    <mergeCell ref="N2:W2"/>
    <mergeCell ref="B1:C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SELL OUT - Milenio 2026</vt:lpstr>
      <vt:lpstr>EQUIPES</vt:lpstr>
    </vt:vector>
  </TitlesOfParts>
  <Manager/>
  <Company>Martins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Analista Blue Jacket</dc:creator>
  <cp:keywords/>
  <dc:description/>
  <cp:lastModifiedBy>Vinicius Nantes</cp:lastModifiedBy>
  <cp:revision>2</cp:revision>
  <dcterms:created xsi:type="dcterms:W3CDTF">2016-09-15T13:55:58Z</dcterms:created>
  <dcterms:modified xsi:type="dcterms:W3CDTF">2026-08-07T19:33:08Z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Martins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